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aik\Documents\"/>
    </mc:Choice>
  </mc:AlternateContent>
  <xr:revisionPtr revIDLastSave="0" documentId="8_{0B325876-748A-4247-8459-815EAEEFB005}" xr6:coauthVersionLast="47" xr6:coauthVersionMax="47" xr10:uidLastSave="{00000000-0000-0000-0000-000000000000}"/>
  <bookViews>
    <workbookView xWindow="-252" yWindow="2304" windowWidth="23040" windowHeight="13680" activeTab="4" xr2:uid="{00000000-000D-0000-FFFF-FFFF00000000}"/>
  </bookViews>
  <sheets>
    <sheet name="Raw Data" sheetId="1" r:id="rId1"/>
    <sheet name="Sheet1" sheetId="4" r:id="rId2"/>
    <sheet name="Sheet2" sheetId="5" r:id="rId3"/>
    <sheet name="Sheet3" sheetId="6" r:id="rId4"/>
    <sheet name="Dashboard" sheetId="3" r:id="rId5"/>
    <sheet name="Sheet4" sheetId="7" r:id="rId6"/>
    <sheet name="Analysis" sheetId="2" r:id="rId7"/>
  </sheets>
  <definedNames>
    <definedName name="Slicer_Category">#N/A</definedName>
    <definedName name="Slicer_Product">#N/A</definedName>
    <definedName name="Slicer_Region">#N/A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3" l="1"/>
  <c r="H5" i="3"/>
  <c r="D5" i="3"/>
  <c r="J5" i="3" s="1"/>
  <c r="B5" i="3"/>
  <c r="D11" i="5"/>
  <c r="D10" i="5"/>
  <c r="D9" i="5"/>
  <c r="D8" i="5"/>
  <c r="D7" i="5"/>
  <c r="D6" i="5"/>
  <c r="D5" i="5"/>
  <c r="D4" i="5"/>
  <c r="O6" i="1"/>
  <c r="R4" i="1"/>
  <c r="Q4" i="1"/>
  <c r="P4" i="1"/>
  <c r="O4" i="1"/>
  <c r="B5" i="2"/>
  <c r="B4" i="2"/>
  <c r="B3" i="2"/>
  <c r="B2" i="2"/>
</calcChain>
</file>

<file path=xl/sharedStrings.xml><?xml version="1.0" encoding="utf-8"?>
<sst xmlns="http://schemas.openxmlformats.org/spreadsheetml/2006/main" count="3810" uniqueCount="809">
  <si>
    <t>Order ID</t>
  </si>
  <si>
    <t>Order Date</t>
  </si>
  <si>
    <t>Region</t>
  </si>
  <si>
    <t>Product</t>
  </si>
  <si>
    <t>Category</t>
  </si>
  <si>
    <t>Units Sold</t>
  </si>
  <si>
    <t>Unit Price</t>
  </si>
  <si>
    <t>Discount</t>
  </si>
  <si>
    <t>Sales</t>
  </si>
  <si>
    <t>Cost</t>
  </si>
  <si>
    <t>Profit</t>
  </si>
  <si>
    <t>Month</t>
  </si>
  <si>
    <t>Profit Margin</t>
  </si>
  <si>
    <t>ORD0001</t>
  </si>
  <si>
    <t>South</t>
  </si>
  <si>
    <t>Tablet</t>
  </si>
  <si>
    <t>Electronics</t>
  </si>
  <si>
    <t>Apr</t>
  </si>
  <si>
    <t>ORD0002</t>
  </si>
  <si>
    <t>East</t>
  </si>
  <si>
    <t>Keyboard</t>
  </si>
  <si>
    <t>Accessories</t>
  </si>
  <si>
    <t>Jun</t>
  </si>
  <si>
    <t>ORD0003</t>
  </si>
  <si>
    <t>West</t>
  </si>
  <si>
    <t>Webcam</t>
  </si>
  <si>
    <t>Jul</t>
  </si>
  <si>
    <t>ORD0004</t>
  </si>
  <si>
    <t>Headphones</t>
  </si>
  <si>
    <t>Feb</t>
  </si>
  <si>
    <t>ORD0005</t>
  </si>
  <si>
    <t>ORD0006</t>
  </si>
  <si>
    <t>North</t>
  </si>
  <si>
    <t>May</t>
  </si>
  <si>
    <t>ORD0007</t>
  </si>
  <si>
    <t>Nov</t>
  </si>
  <si>
    <t>ORD0008</t>
  </si>
  <si>
    <t>Monitor</t>
  </si>
  <si>
    <t>Sep</t>
  </si>
  <si>
    <t>ORD0009</t>
  </si>
  <si>
    <t>ORD0010</t>
  </si>
  <si>
    <t>Mouse</t>
  </si>
  <si>
    <t>ORD0011</t>
  </si>
  <si>
    <t>ORD0012</t>
  </si>
  <si>
    <t>Aug</t>
  </si>
  <si>
    <t>ORD0013</t>
  </si>
  <si>
    <t>Dec</t>
  </si>
  <si>
    <t>ORD0014</t>
  </si>
  <si>
    <t>Laptop</t>
  </si>
  <si>
    <t>Mar</t>
  </si>
  <si>
    <t>ORD0015</t>
  </si>
  <si>
    <t>ORD0016</t>
  </si>
  <si>
    <t>ORD0017</t>
  </si>
  <si>
    <t>ORD0018</t>
  </si>
  <si>
    <t>ORD0019</t>
  </si>
  <si>
    <t>ORD0020</t>
  </si>
  <si>
    <t>ORD0021</t>
  </si>
  <si>
    <t>ORD0022</t>
  </si>
  <si>
    <t>Oct</t>
  </si>
  <si>
    <t>ORD0023</t>
  </si>
  <si>
    <t>ORD0024</t>
  </si>
  <si>
    <t>ORD0025</t>
  </si>
  <si>
    <t>ORD0026</t>
  </si>
  <si>
    <t>ORD0027</t>
  </si>
  <si>
    <t>ORD0028</t>
  </si>
  <si>
    <t>Jan</t>
  </si>
  <si>
    <t>ORD0029</t>
  </si>
  <si>
    <t>ORD0030</t>
  </si>
  <si>
    <t>ORD0031</t>
  </si>
  <si>
    <t>ORD0032</t>
  </si>
  <si>
    <t>ORD0033</t>
  </si>
  <si>
    <t>ORD0034</t>
  </si>
  <si>
    <t>Printer</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</si>
  <si>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</si>
  <si>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</si>
  <si>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</si>
  <si>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</si>
  <si>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</si>
  <si>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</si>
  <si>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</si>
  <si>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</si>
  <si>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</si>
  <si>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</si>
  <si>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</si>
  <si>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</si>
  <si>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</si>
  <si>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</si>
  <si>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</si>
  <si>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</si>
  <si>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</si>
  <si>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</si>
  <si>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</si>
  <si>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</si>
  <si>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</si>
  <si>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</si>
  <si>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</si>
  <si>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</si>
  <si>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</si>
  <si>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</si>
  <si>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</si>
  <si>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</si>
  <si>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</si>
  <si>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</si>
  <si>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</si>
  <si>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</si>
  <si>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</si>
  <si>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</si>
  <si>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</si>
  <si>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</si>
  <si>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</si>
  <si>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</si>
  <si>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</si>
  <si>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</si>
  <si>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</si>
  <si>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</si>
  <si>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</si>
  <si>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</si>
  <si>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</si>
  <si>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</si>
  <si>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</si>
  <si>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</si>
  <si>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</si>
  <si>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</si>
  <si>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</si>
  <si>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</si>
  <si>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</si>
  <si>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</si>
  <si>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</si>
  <si>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</si>
  <si>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</si>
  <si>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</si>
  <si>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</si>
  <si>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</si>
  <si>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</si>
  <si>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</si>
  <si>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</si>
  <si>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</si>
  <si>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</si>
  <si>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</si>
  <si>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</si>
  <si>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</si>
  <si>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</si>
  <si>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</si>
  <si>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</si>
  <si>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</si>
  <si>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</si>
  <si>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</si>
  <si>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</si>
  <si>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</si>
  <si>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</si>
  <si>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</si>
  <si>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</si>
  <si>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</si>
  <si>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</si>
  <si>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</si>
  <si>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</si>
  <si>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</si>
  <si>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</si>
  <si>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</si>
  <si>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</si>
  <si>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</si>
  <si>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</si>
  <si>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</si>
  <si>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</si>
  <si>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</si>
  <si>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</si>
  <si>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</si>
  <si>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</si>
  <si>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</si>
  <si>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</si>
  <si>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</si>
  <si>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</si>
  <si>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</si>
  <si>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</si>
  <si>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</si>
  <si>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</si>
  <si>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</si>
  <si>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</si>
  <si>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</si>
  <si>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</si>
  <si>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</si>
  <si>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</si>
  <si>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</si>
  <si>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</si>
  <si>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</si>
  <si>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</si>
  <si>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</si>
  <si>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</si>
  <si>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</si>
  <si>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</si>
  <si>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</si>
  <si>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</si>
  <si>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</si>
  <si>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</si>
  <si>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</si>
  <si>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</si>
  <si>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</si>
  <si>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</si>
  <si>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</si>
  <si>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</si>
  <si>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</si>
  <si>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</si>
  <si>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</si>
  <si>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</si>
  <si>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</si>
  <si>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</si>
  <si>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</si>
  <si>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</si>
  <si>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</si>
  <si>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</si>
  <si>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</si>
  <si>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</si>
  <si>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</si>
  <si>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</si>
  <si>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</si>
  <si>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</si>
  <si>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</si>
  <si>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</si>
  <si>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</si>
  <si>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</si>
  <si>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</si>
  <si>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</si>
  <si>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</si>
  <si>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</si>
  <si>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</si>
  <si>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</si>
  <si>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</si>
  <si>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</si>
  <si>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</si>
  <si>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</si>
  <si>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</si>
  <si>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</si>
  <si>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</si>
  <si>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</si>
  <si>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</si>
  <si>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</si>
  <si>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</si>
  <si>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</si>
  <si>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</si>
  <si>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</si>
  <si>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</si>
  <si>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</si>
  <si>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</si>
  <si>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</si>
  <si>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</si>
  <si>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</si>
  <si>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</si>
  <si>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</si>
  <si>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</si>
  <si>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</si>
  <si>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</si>
  <si>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</si>
  <si>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</si>
  <si>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</si>
  <si>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</si>
  <si>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</si>
  <si>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</si>
  <si>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</si>
  <si>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</si>
  <si>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</si>
  <si>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</si>
  <si>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</si>
  <si>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</si>
  <si>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</si>
  <si>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</si>
  <si>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</si>
  <si>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</si>
  <si>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</si>
  <si>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</si>
  <si>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</si>
  <si>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</si>
  <si>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</si>
  <si>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</si>
  <si>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</si>
  <si>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</si>
  <si>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</si>
  <si>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</si>
  <si>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</si>
  <si>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</si>
  <si>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</si>
  <si>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</si>
  <si>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</si>
  <si>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</si>
  <si>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</si>
  <si>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</si>
  <si>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</si>
  <si>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</si>
  <si>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</si>
  <si>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</si>
  <si>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</si>
  <si>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</si>
  <si>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</si>
  <si>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</si>
  <si>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</si>
  <si>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</si>
  <si>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</si>
  <si>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</si>
  <si>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</si>
  <si>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</si>
  <si>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</si>
  <si>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</si>
  <si>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</si>
  <si>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</si>
  <si>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</si>
  <si>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</si>
  <si>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</si>
  <si>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</si>
  <si>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</si>
  <si>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</si>
  <si>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</si>
  <si>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</si>
  <si>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</si>
  <si>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</si>
  <si>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</si>
  <si>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</si>
  <si>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</si>
  <si>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</si>
  <si>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</si>
  <si>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</si>
  <si>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</si>
  <si>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</si>
  <si>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</si>
  <si>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</si>
  <si>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</si>
  <si>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</si>
  <si>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</si>
  <si>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</si>
  <si>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</si>
  <si>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</si>
  <si>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</si>
  <si>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</si>
  <si>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</si>
  <si>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</si>
  <si>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</si>
  <si>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</si>
  <si>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</si>
  <si>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</si>
  <si>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</si>
  <si>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</si>
  <si>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</si>
  <si>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</si>
  <si>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</si>
  <si>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</si>
  <si>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</si>
  <si>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</si>
  <si>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</si>
  <si>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</si>
  <si>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</si>
  <si>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</si>
  <si>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</si>
  <si>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</si>
  <si>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</si>
  <si>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</si>
  <si>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</si>
  <si>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</si>
  <si>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</si>
  <si>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</si>
  <si>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</si>
  <si>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</si>
  <si>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</si>
  <si>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</si>
  <si>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</si>
  <si>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</si>
  <si>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</si>
  <si>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</si>
  <si>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</si>
  <si>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</si>
  <si>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</si>
  <si>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</si>
  <si>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</si>
  <si>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</si>
  <si>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</si>
  <si>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</si>
  <si>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</si>
  <si>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</si>
  <si>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</si>
  <si>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</si>
  <si>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</si>
  <si>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</si>
  <si>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</si>
  <si>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</si>
  <si>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</si>
  <si>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</si>
  <si>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</si>
  <si>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</si>
  <si>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</si>
  <si>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</si>
  <si>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</si>
  <si>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</si>
  <si>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</si>
  <si>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</si>
  <si>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</si>
  <si>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</si>
  <si>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</si>
  <si>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</si>
  <si>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</si>
  <si>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</si>
  <si>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</si>
  <si>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</si>
  <si>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</si>
  <si>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</si>
  <si>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</si>
  <si>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</si>
  <si>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</si>
  <si>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</si>
  <si>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</si>
  <si>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</si>
  <si>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</si>
  <si>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</si>
  <si>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</si>
  <si>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</si>
  <si>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</si>
  <si>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</si>
  <si>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</si>
  <si>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</si>
  <si>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</si>
  <si>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</si>
  <si>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</si>
  <si>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</si>
  <si>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</si>
  <si>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</si>
  <si>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</si>
  <si>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</si>
  <si>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</si>
  <si>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</si>
  <si>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</si>
  <si>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</si>
  <si>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</si>
  <si>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</si>
  <si>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</si>
  <si>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</si>
  <si>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</si>
  <si>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</si>
  <si>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</si>
  <si>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</si>
  <si>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</si>
  <si>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</si>
  <si>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</si>
  <si>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</si>
  <si>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</si>
  <si>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</si>
  <si>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</si>
  <si>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</si>
  <si>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</si>
  <si>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</si>
  <si>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</si>
  <si>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</si>
  <si>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</si>
  <si>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</si>
  <si>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</si>
  <si>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</si>
  <si>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</si>
  <si>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</si>
  <si>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</si>
  <si>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</si>
  <si>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</si>
  <si>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</si>
  <si>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</si>
  <si>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</si>
  <si>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</si>
  <si>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</si>
  <si>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</si>
  <si>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</si>
  <si>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</si>
  <si>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</si>
  <si>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</si>
  <si>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</si>
  <si>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</si>
  <si>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</si>
  <si>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</si>
  <si>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</si>
  <si>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</si>
  <si>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</si>
  <si>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</si>
  <si>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</si>
  <si>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</si>
  <si>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</si>
  <si>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</si>
  <si>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</si>
  <si>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</si>
  <si>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</si>
  <si>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</si>
  <si>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</si>
  <si>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</si>
  <si>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</si>
  <si>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</si>
  <si>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</si>
  <si>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</si>
  <si>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</si>
  <si>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</si>
  <si>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</si>
  <si>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</si>
  <si>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</si>
  <si>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</si>
  <si>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</si>
  <si>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</si>
  <si>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</si>
  <si>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</si>
  <si>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</si>
  <si>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</si>
  <si>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</si>
  <si>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</si>
  <si>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</si>
  <si>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</si>
  <si>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</si>
  <si>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</si>
  <si>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</si>
  <si>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</si>
  <si>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</si>
  <si>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</si>
  <si>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</si>
  <si>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</si>
  <si>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</si>
  <si>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</si>
  <si>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</si>
  <si>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</si>
  <si>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</si>
  <si>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</si>
  <si>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</si>
  <si>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</si>
  <si>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</si>
  <si>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</si>
  <si>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</si>
  <si>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</si>
  <si>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</si>
  <si>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</si>
  <si>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</si>
  <si>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</si>
  <si>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</si>
  <si>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</si>
  <si>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</si>
  <si>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</si>
  <si>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</si>
  <si>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</si>
  <si>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</si>
  <si>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</si>
  <si>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</si>
  <si>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</si>
  <si>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</si>
  <si>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</si>
  <si>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</si>
  <si>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</si>
  <si>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</si>
  <si>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</si>
  <si>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</si>
  <si>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</si>
  <si>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</si>
  <si>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</si>
  <si>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</si>
  <si>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</si>
  <si>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</si>
  <si>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</si>
  <si>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</si>
  <si>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</si>
  <si>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</si>
  <si>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</si>
  <si>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</si>
  <si>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</si>
  <si>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</si>
  <si>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</si>
  <si>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</si>
  <si>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</si>
  <si>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</si>
  <si>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</si>
  <si>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</si>
  <si>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</si>
  <si>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</si>
  <si>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</si>
  <si>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</si>
  <si>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</si>
  <si>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</si>
  <si>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</si>
  <si>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</si>
  <si>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</si>
  <si>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</si>
  <si>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</si>
  <si>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</si>
  <si>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</si>
  <si>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</si>
  <si>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</si>
  <si>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</si>
  <si>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</si>
  <si>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</si>
  <si>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</si>
  <si>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</si>
  <si>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</si>
  <si>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</si>
  <si>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</si>
  <si>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</si>
  <si>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</si>
  <si>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</si>
  <si>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</si>
  <si>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</si>
  <si>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</si>
  <si>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</si>
  <si>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</si>
  <si>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</si>
  <si>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</si>
  <si>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</si>
  <si>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</si>
  <si>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</si>
  <si>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</si>
  <si>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</si>
  <si>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</si>
  <si>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</si>
  <si>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</si>
  <si>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</si>
  <si>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</si>
  <si>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</si>
  <si>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</si>
  <si>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</si>
  <si>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</si>
  <si>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</si>
  <si>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</si>
  <si>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</si>
  <si>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</si>
  <si>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</si>
  <si>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</si>
  <si>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</si>
  <si>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</si>
  <si>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</si>
  <si>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</si>
  <si>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</si>
  <si>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</si>
  <si>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</si>
  <si>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</si>
  <si>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</si>
  <si>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</si>
  <si>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</si>
  <si>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</si>
  <si>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</si>
  <si>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</si>
  <si>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</si>
  <si>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</si>
  <si>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</si>
  <si>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</si>
  <si>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</si>
  <si>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</si>
  <si>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</si>
  <si>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</si>
  <si>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</si>
  <si>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</si>
  <si>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</si>
  <si>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</si>
  <si>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</si>
  <si>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</si>
  <si>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</si>
  <si>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</si>
  <si>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</si>
  <si>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</si>
  <si>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</si>
  <si>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</si>
  <si>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</si>
  <si>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</si>
  <si>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</si>
  <si>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</si>
  <si>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</si>
  <si>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</si>
  <si>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</si>
  <si>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</si>
  <si>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</si>
  <si>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</si>
  <si>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</si>
  <si>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</si>
  <si>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</si>
  <si>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</si>
  <si>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</si>
  <si>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</si>
  <si>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</si>
  <si>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</si>
  <si>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</si>
  <si>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</si>
  <si>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</si>
  <si>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</si>
  <si>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</si>
  <si>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</si>
  <si>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</si>
  <si>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</si>
  <si>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</si>
  <si>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</si>
  <si>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</si>
  <si>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</si>
  <si>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</si>
  <si>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</si>
  <si>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</si>
  <si>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</si>
  <si>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</si>
  <si>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</si>
  <si>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</si>
  <si>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</si>
  <si>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</si>
  <si>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</si>
  <si>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</si>
  <si>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</si>
  <si>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</si>
  <si>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</si>
  <si>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</si>
  <si>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</si>
  <si>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</si>
  <si>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</si>
  <si>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</si>
  <si>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</si>
  <si>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</si>
  <si>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</si>
  <si>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</si>
  <si>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</si>
  <si>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</si>
  <si>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</si>
  <si>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</si>
  <si>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</si>
  <si>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</si>
  <si>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</si>
  <si>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</si>
  <si>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</si>
  <si>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</si>
  <si>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</si>
  <si>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</si>
  <si>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</si>
  <si>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</si>
  <si>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</si>
  <si>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</si>
  <si>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</si>
  <si>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</si>
  <si>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</si>
  <si>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</si>
  <si>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</si>
  <si>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</si>
  <si>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</si>
  <si>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</si>
  <si>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</si>
  <si>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</si>
  <si>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</si>
  <si>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</si>
  <si>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</si>
  <si>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</si>
  <si>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</si>
  <si>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</si>
  <si>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</si>
  <si>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</si>
  <si>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</si>
  <si>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</si>
  <si>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</si>
  <si>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</si>
  <si>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</si>
  <si>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</si>
  <si>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</si>
  <si>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</si>
  <si>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</si>
  <si>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</si>
  <si>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</si>
  <si>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</si>
  <si>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</si>
  <si>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</si>
  <si>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</si>
  <si>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</si>
  <si>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</si>
  <si>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</si>
  <si>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</si>
  <si>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</si>
  <si>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</si>
  <si>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</si>
  <si>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</si>
  <si>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</si>
  <si>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</si>
  <si>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</si>
  <si>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</si>
  <si>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</si>
  <si>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</si>
  <si>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</si>
  <si>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</si>
  <si>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</si>
  <si>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</si>
  <si>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</si>
  <si>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</si>
  <si>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</si>
  <si>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</si>
  <si>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</si>
  <si>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</si>
  <si>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</si>
  <si>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</si>
  <si>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</si>
  <si>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</si>
  <si>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</si>
  <si>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</si>
  <si>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</si>
  <si>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</si>
  <si>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</si>
  <si>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</si>
  <si>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</si>
  <si>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Metric</t>
  </si>
  <si>
    <t>Value</t>
  </si>
  <si>
    <t>Total Sales</t>
  </si>
  <si>
    <t>Total Profit</t>
  </si>
  <si>
    <t>Total Orders</t>
  </si>
  <si>
    <t>Total Units</t>
  </si>
  <si>
    <t>sum of sales</t>
  </si>
  <si>
    <t>sum of profit</t>
  </si>
  <si>
    <t>sum of unit</t>
  </si>
  <si>
    <t>Count of orderid</t>
  </si>
  <si>
    <t>Sum of Sales</t>
  </si>
  <si>
    <t>Row Labels</t>
  </si>
  <si>
    <t>Grand Total</t>
  </si>
  <si>
    <t>Sum of Profit</t>
  </si>
  <si>
    <t>SALES &amp; BUSINESS PERFORMANCE DASHBOARD</t>
  </si>
  <si>
    <t>TOTAL SALES</t>
  </si>
  <si>
    <t>TOTAL PROFIT</t>
  </si>
  <si>
    <t>TOTAL ORDERS</t>
  </si>
  <si>
    <t>TOTAL UNITS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</si>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</sst>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yyyy\-mm\-dd\ hh:mm:ss"/>
  </numFmts>
  <fonts count="4" x14ac:knownFonts="1">
    <font>
      <sz val="11"/>
      <color theme="1"/>
      <name val="Calibri"/>
      <family val="2"/>
      <scheme val="minor"/>
    </font>
    <font>
      <b/>
      <sz val="11"/>
      <name val="Calibri"/>
    </font>
    <font>
      <sz val="11"/>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8" fontId="0" fillId="0" borderId="0" xfId="0" applyNumberFormat="1"/>
    <xf numFmtId="3" fontId="0" fillId="0" borderId="0" xfId="0" applyNumberFormat="1"/>
    <xf numFmtId="0" fontId="3" fillId="0" borderId="0" xfId="0" applyFont="1" applyAlignment="1">
      <alignment horizontal="center"/>
    </xf>
    <xf numFmtId="0" fontId="0" fillId="0" borderId="0" xfId="0"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[Excel_Sales_Analytics_Project.xlsx]Sheet3!PivotTable3</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8361.4599999999991</c:v>
                </c:pt>
                <c:pt idx="1">
                  <c:v>10410.549999999997</c:v>
                </c:pt>
                <c:pt idx="2">
                  <c:v>10611.169999999996</c:v>
                </c:pt>
                <c:pt idx="3">
                  <c:v>12244.439999999999</c:v>
                </c:pt>
                <c:pt idx="4">
                  <c:v>11029.150000000001</c:v>
                </c:pt>
                <c:pt idx="5">
                  <c:v>5911.6600000000017</c:v>
                </c:pt>
                <c:pt idx="6">
                  <c:v>10215.67</c:v>
                </c:pt>
                <c:pt idx="7">
                  <c:v>8488.9100000000035</c:v>
                </c:pt>
                <c:pt idx="8">
                  <c:v>9268.31</c:v>
                </c:pt>
                <c:pt idx="9">
                  <c:v>8847.69</c:v>
                </c:pt>
                <c:pt idx="10">
                  <c:v>7616.0499999999984</c:v>
                </c:pt>
                <c:pt idx="11">
                  <c:v>11128.83</c:v>
                </c:pt>
              </c:numCache>
            </c:numRef>
          </c:val>
          <c:smooth val="0"/>
          <c:extLst>
            <c:ext xmlns:c16="http://schemas.microsoft.com/office/drawing/2014/chart" uri="{C3380CC4-5D6E-409C-BE32-E72D297353CC}">
              <c16:uniqueId val="{00000000-9EFC-41D7-948D-9A46F5A1D534}"/>
            </c:ext>
          </c:extLst>
        </c:ser>
        <c:ser>
          <c:idx val="1"/>
          <c:order val="1"/>
          <c:tx>
            <c:strRef>
              <c:f>Sheet3!$C$3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Sheet3!$C$4:$C$16</c:f>
              <c:numCache>
                <c:formatCode>General</c:formatCode>
                <c:ptCount val="12"/>
                <c:pt idx="0">
                  <c:v>2332.8099999999995</c:v>
                </c:pt>
                <c:pt idx="1">
                  <c:v>3057.92</c:v>
                </c:pt>
                <c:pt idx="2">
                  <c:v>3110.97</c:v>
                </c:pt>
                <c:pt idx="3">
                  <c:v>3470.9699999999993</c:v>
                </c:pt>
                <c:pt idx="4">
                  <c:v>3450.56</c:v>
                </c:pt>
                <c:pt idx="5">
                  <c:v>1763.1200000000001</c:v>
                </c:pt>
                <c:pt idx="6">
                  <c:v>3001.18</c:v>
                </c:pt>
                <c:pt idx="7">
                  <c:v>2527.9700000000003</c:v>
                </c:pt>
                <c:pt idx="8">
                  <c:v>2696.0999999999995</c:v>
                </c:pt>
                <c:pt idx="9">
                  <c:v>2355.9999999999995</c:v>
                </c:pt>
                <c:pt idx="10">
                  <c:v>2341.8099999999995</c:v>
                </c:pt>
                <c:pt idx="11">
                  <c:v>3217.6</c:v>
                </c:pt>
              </c:numCache>
            </c:numRef>
          </c:val>
          <c:smooth val="0"/>
          <c:extLst>
            <c:ext xmlns:c16="http://schemas.microsoft.com/office/drawing/2014/chart" uri="{C3380CC4-5D6E-409C-BE32-E72D297353CC}">
              <c16:uniqueId val="{00000001-9EFC-41D7-948D-9A46F5A1D534}"/>
            </c:ext>
          </c:extLst>
        </c:ser>
        <c:dLbls>
          <c:showLegendKey val="0"/>
          <c:showVal val="0"/>
          <c:showCatName val="0"/>
          <c:showSerName val="0"/>
          <c:showPercent val="0"/>
          <c:showBubbleSize val="0"/>
        </c:dLbls>
        <c:marker val="1"/>
        <c:smooth val="0"/>
        <c:axId val="111147600"/>
        <c:axId val="1980858880"/>
      </c:lineChart>
      <c:catAx>
        <c:axId val="11114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58880"/>
        <c:crosses val="autoZero"/>
        <c:auto val="1"/>
        <c:lblAlgn val="ctr"/>
        <c:lblOffset val="100"/>
        <c:noMultiLvlLbl val="0"/>
      </c:catAx>
      <c:valAx>
        <c:axId val="198085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4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[Excel_Sales_Analytics_Project.xlsx]Sheet2!PivotTable2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Headphones</c:v>
                </c:pt>
                <c:pt idx="1">
                  <c:v>Webcam</c:v>
                </c:pt>
                <c:pt idx="2">
                  <c:v>Keyboard</c:v>
                </c:pt>
                <c:pt idx="3">
                  <c:v>Mouse</c:v>
                </c:pt>
              </c:strCache>
            </c:strRef>
          </c:cat>
          <c:val>
            <c:numRef>
              <c:f>Sheet2!$B$4:$B$8</c:f>
              <c:numCache>
                <c:formatCode>General</c:formatCode>
                <c:ptCount val="4"/>
                <c:pt idx="0">
                  <c:v>36167.719999999987</c:v>
                </c:pt>
                <c:pt idx="1">
                  <c:v>34266.539999999986</c:v>
                </c:pt>
                <c:pt idx="2">
                  <c:v>28122.05000000001</c:v>
                </c:pt>
                <c:pt idx="3">
                  <c:v>15577.579999999991</c:v>
                </c:pt>
              </c:numCache>
            </c:numRef>
          </c:val>
          <c:extLst>
            <c:ext xmlns:c16="http://schemas.microsoft.com/office/drawing/2014/chart" uri="{C3380CC4-5D6E-409C-BE32-E72D297353CC}">
              <c16:uniqueId val="{00000000-CF2E-4996-AAED-AA6030EAF213}"/>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Headphones</c:v>
                </c:pt>
                <c:pt idx="1">
                  <c:v>Webcam</c:v>
                </c:pt>
                <c:pt idx="2">
                  <c:v>Keyboard</c:v>
                </c:pt>
                <c:pt idx="3">
                  <c:v>Mouse</c:v>
                </c:pt>
              </c:strCache>
            </c:strRef>
          </c:cat>
          <c:val>
            <c:numRef>
              <c:f>Sheet2!$C$4:$C$8</c:f>
              <c:numCache>
                <c:formatCode>General</c:formatCode>
                <c:ptCount val="4"/>
                <c:pt idx="0">
                  <c:v>10237.579999999998</c:v>
                </c:pt>
                <c:pt idx="1">
                  <c:v>10305.820000000003</c:v>
                </c:pt>
                <c:pt idx="2">
                  <c:v>8004.1900000000005</c:v>
                </c:pt>
                <c:pt idx="3">
                  <c:v>4779.4200000000019</c:v>
                </c:pt>
              </c:numCache>
            </c:numRef>
          </c:val>
          <c:extLst>
            <c:ext xmlns:c16="http://schemas.microsoft.com/office/drawing/2014/chart" uri="{C3380CC4-5D6E-409C-BE32-E72D297353CC}">
              <c16:uniqueId val="{00000001-CF2E-4996-AAED-AA6030EAF213}"/>
            </c:ext>
          </c:extLst>
        </c:ser>
        <c:dLbls>
          <c:showLegendKey val="0"/>
          <c:showVal val="0"/>
          <c:showCatName val="0"/>
          <c:showSerName val="0"/>
          <c:showPercent val="0"/>
          <c:showBubbleSize val="0"/>
        </c:dLbls>
        <c:gapWidth val="219"/>
        <c:overlap val="-27"/>
        <c:axId val="40064992"/>
        <c:axId val="2074038464"/>
      </c:barChart>
      <c:catAx>
        <c:axId val="400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038464"/>
        <c:crosses val="autoZero"/>
        <c:auto val="1"/>
        <c:lblAlgn val="ctr"/>
        <c:lblOffset val="100"/>
        <c:noMultiLvlLbl val="0"/>
      </c:catAx>
      <c:valAx>
        <c:axId val="207403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[Excel_Sales_Analytics_Project.xlsx]Sheet1!PivotTable1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27380.579999999998</c:v>
                </c:pt>
                <c:pt idx="1">
                  <c:v>30686.350000000009</c:v>
                </c:pt>
                <c:pt idx="2">
                  <c:v>27298.840000000004</c:v>
                </c:pt>
                <c:pt idx="3">
                  <c:v>28768.119999999995</c:v>
                </c:pt>
              </c:numCache>
            </c:numRef>
          </c:val>
          <c:extLst>
            <c:ext xmlns:c16="http://schemas.microsoft.com/office/drawing/2014/chart" uri="{C3380CC4-5D6E-409C-BE32-E72D297353CC}">
              <c16:uniqueId val="{00000000-9E18-4560-9F15-BE471B10E990}"/>
            </c:ext>
          </c:extLst>
        </c:ser>
        <c:dLbls>
          <c:showLegendKey val="0"/>
          <c:showVal val="0"/>
          <c:showCatName val="0"/>
          <c:showSerName val="0"/>
          <c:showPercent val="0"/>
          <c:showBubbleSize val="0"/>
        </c:dLbls>
        <c:gapWidth val="219"/>
        <c:overlap val="-27"/>
        <c:axId val="2023153808"/>
        <c:axId val="2073996704"/>
      </c:barChart>
      <c:catAx>
        <c:axId val="20231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996704"/>
        <c:crosses val="autoZero"/>
        <c:auto val="1"/>
        <c:lblAlgn val="ctr"/>
        <c:lblOffset val="100"/>
        <c:noMultiLvlLbl val="0"/>
      </c:catAx>
      <c:valAx>
        <c:axId val="207399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15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1158240</xdr:colOff>
      <xdr:row>6</xdr:row>
      <xdr:rowOff>91440</xdr:rowOff>
    </xdr:from>
    <xdr:to>
      <xdr:col>6</xdr:col>
      <xdr:colOff>129540</xdr:colOff>
      <xdr:row>21</xdr:row>
      <xdr:rowOff>91440</xdr:rowOff>
    </xdr:to>
    <xdr:graphicFrame macro="">
      <xdr:nvGraphicFramePr>
        <xdr:cNvPr id="2" name="Chart 1">
          <a:extLst>
            <a:ext uri="{FF2B5EF4-FFF2-40B4-BE49-F238E27FC236}">
              <a16:creationId xmlns:a16="http://schemas.microsoft.com/office/drawing/2014/main" id="{842F354E-49D1-49D7-9735-3FAB30B8E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1074420</xdr:colOff>
      <xdr:row>22</xdr:row>
      <xdr:rowOff>129540</xdr:rowOff>
    </xdr:from>
    <xdr:to>
      <xdr:col>6</xdr:col>
      <xdr:colOff>121920</xdr:colOff>
      <xdr:row>37</xdr:row>
      <xdr:rowOff>129540</xdr:rowOff>
    </xdr:to>
    <xdr:graphicFrame macro="">
      <xdr:nvGraphicFramePr>
        <xdr:cNvPr id="3" name="Chart 2">
          <a:extLst>
            <a:ext uri="{FF2B5EF4-FFF2-40B4-BE49-F238E27FC236}">
              <a16:creationId xmlns:a16="http://schemas.microsoft.com/office/drawing/2014/main" id="{32250AF3-A678-40B1-BB1F-4432887B0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331408</xdr:colOff>
      <xdr:row>6</xdr:row>
      <xdr:rowOff>108857</xdr:rowOff>
    </xdr:from>
    <xdr:to>
      <xdr:col>14</xdr:col>
      <xdr:colOff>39006</xdr:colOff>
      <xdr:row>22</xdr:row>
      <xdr:rowOff>21772</xdr:rowOff>
    </xdr:to>
    <xdr:graphicFrame macro="">
      <xdr:nvGraphicFramePr>
        <xdr:cNvPr id="4" name="Chart 3">
          <a:extLst>
            <a:ext uri="{FF2B5EF4-FFF2-40B4-BE49-F238E27FC236}">
              <a16:creationId xmlns:a16="http://schemas.microsoft.com/office/drawing/2014/main" id="{98C751D0-525B-4CDD-9AF5-21E61F8E6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281940</xdr:colOff>
      <xdr:row>23</xdr:row>
      <xdr:rowOff>104140</xdr:rowOff>
    </xdr:from>
    <xdr:to>
      <xdr:col>10</xdr:col>
      <xdr:colOff>281940</xdr:colOff>
      <xdr:row>36</xdr:row>
      <xdr:rowOff>149648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A2E92BB-A98F-4B28-FE69-EA39AF86F3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3718" y="4436251"/>
              <a:ext cx="1820333" cy="243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137160</xdr:colOff>
      <xdr:row>23</xdr:row>
      <xdr:rowOff>112607</xdr:rowOff>
    </xdr:from>
    <xdr:to>
      <xdr:col>14</xdr:col>
      <xdr:colOff>137160</xdr:colOff>
      <xdr:row>36</xdr:row>
      <xdr:rowOff>158115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407D741-11BB-1689-F4E3-FF9E83E76F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26049" y="4444718"/>
              <a:ext cx="1820333" cy="243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535093</xdr:colOff>
      <xdr:row>23</xdr:row>
      <xdr:rowOff>112607</xdr:rowOff>
    </xdr:from>
    <xdr:to>
      <xdr:col>17</xdr:col>
      <xdr:colOff>535092</xdr:colOff>
      <xdr:row>36</xdr:row>
      <xdr:rowOff>158115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5549CDD-0279-998C-1B6A-20E3BE8ACD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44315" y="4444718"/>
              <a:ext cx="1820333" cy="243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31018</xdr:colOff>
      <xdr:row>38</xdr:row>
      <xdr:rowOff>169180</xdr:rowOff>
    </xdr:from>
    <xdr:to>
      <xdr:col>10</xdr:col>
      <xdr:colOff>42564</xdr:colOff>
      <xdr:row>52</xdr:row>
      <xdr:rowOff>24188</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87AD95D8-2C7E-0DCF-0075-265FC3C3602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92796" y="7252958"/>
              <a:ext cx="1831879" cy="2423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me Kaif" refreshedDate="46280.915204745368" createdVersion="8" refreshedVersion="8" minRefreshableVersion="3" recordCount="750" xr:uid="{348AC9B7-602E-4C32-87AB-2D2B55E9C0FD}">
  <cacheSource type="worksheet">
    <worksheetSource ref="A1:M751" sheet="Raw Data"/>
  </cacheSource>
  <cacheFields count="13">
    <cacheField name="Order ID" numFmtId="0">
      <sharedItems/>
    </cacheField>
    <cacheField name="Order Date" numFmtId="164">
      <sharedItems containsSemiMixedTypes="0" containsNonDate="0" containsDate="1" containsString="0" minDate="2025-01-01T00:00:00" maxDate="2026-01-01T00:00:00"/>
    </cacheField>
    <cacheField name="Region" numFmtId="0">
      <sharedItems count="4">
        <s v="South"/>
        <s v="East"/>
        <s v="West"/>
        <s v="North"/>
      </sharedItems>
    </cacheField>
    <cacheField name="Product" numFmtId="0">
      <sharedItems count="8">
        <s v="Tablet"/>
        <s v="Keyboard"/>
        <s v="Webcam"/>
        <s v="Headphones"/>
        <s v="Monitor"/>
        <s v="Mouse"/>
        <s v="Laptop"/>
        <s v="Printer"/>
      </sharedItems>
    </cacheField>
    <cacheField name="Category" numFmtId="0">
      <sharedItems count="2">
        <s v="Electronics"/>
        <s v="Accessories"/>
      </sharedItems>
    </cacheField>
    <cacheField name="Units Sold" numFmtId="0">
      <sharedItems containsSemiMixedTypes="0" containsString="0" containsNumber="1" containsInteger="1" minValue="1" maxValue="7"/>
    </cacheField>
    <cacheField name="Unit Price" numFmtId="0">
      <sharedItems containsSemiMixedTypes="0" containsString="0" containsNumber="1" minValue="12.03" maxValue="1197.6600000000001"/>
    </cacheField>
    <cacheField name="Discount" numFmtId="0">
      <sharedItems containsSemiMixedTypes="0" containsString="0" containsNumber="1" minValue="0" maxValue="0.15"/>
    </cacheField>
    <cacheField name="Sales" numFmtId="0">
      <sharedItems containsSemiMixedTypes="0" containsString="0" containsNumber="1" minValue="16.600000000000001" maxValue="7075.08"/>
    </cacheField>
    <cacheField name="Cost" numFmtId="0">
      <sharedItems containsSemiMixedTypes="0" containsString="0" containsNumber="1" minValue="11.73" maxValue="5448.07"/>
    </cacheField>
    <cacheField name="Profit" numFmtId="0">
      <sharedItems containsSemiMixedTypes="0" containsString="0" containsNumber="1" minValue="4.62" maxValue="2451.5300000000002"/>
    </cacheField>
    <cacheField name="Month" numFmtId="0">
      <sharedItems count="12">
        <s v="Apr"/>
        <s v="Jun"/>
        <s v="Jul"/>
        <s v="Feb"/>
        <s v="May"/>
        <s v="Nov"/>
        <s v="Sep"/>
        <s v="Aug"/>
        <s v="Dec"/>
        <s v="Mar"/>
        <s v="Oct"/>
        <s v="Jan"/>
      </sharedItems>
    </cacheField>
    <cacheField name="Profit Margin" numFmtId="0">
      <sharedItems containsSemiMixedTypes="0" containsString="0" containsNumber="1" minValue="0.18010000000000001" maxValue="0.4199"/>
    </cacheField>
  </cacheFields>
  <extLst>
    <ext xmlns:x14="http://schemas.microsoft.com/office/spreadsheetml/2009/9/main" uri="{725AE2AE-9491-48be-B2B4-4EB974FC3084}">
      <x14:pivotCacheDefinition pivotCacheId="1515878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ORD0001"/>
    <d v="2025-04-13T00:00:00"/>
    <x v="0"/>
    <x v="0"/>
    <x v="0"/>
    <n v="4"/>
    <n v="626.84"/>
    <n v="0.1"/>
    <n v="2256.62"/>
    <n v="1633.07"/>
    <n v="623.54999999999995"/>
    <x v="0"/>
    <n v="0.27629999999999999"/>
  </r>
  <r>
    <s v="ORD0002"/>
    <d v="2025-06-01T00:00:00"/>
    <x v="1"/>
    <x v="1"/>
    <x v="1"/>
    <n v="7"/>
    <n v="30.52"/>
    <n v="0.1"/>
    <n v="192.28"/>
    <n v="139.26"/>
    <n v="53.02"/>
    <x v="1"/>
    <n v="0.2757"/>
  </r>
  <r>
    <s v="ORD0003"/>
    <d v="2025-07-11T00:00:00"/>
    <x v="2"/>
    <x v="2"/>
    <x v="1"/>
    <n v="5"/>
    <n v="156.09"/>
    <n v="0.1"/>
    <n v="702.41"/>
    <n v="443.19"/>
    <n v="259.22000000000003"/>
    <x v="2"/>
    <n v="0.36899999999999999"/>
  </r>
  <r>
    <s v="ORD0004"/>
    <d v="2025-02-18T00:00:00"/>
    <x v="1"/>
    <x v="3"/>
    <x v="1"/>
    <n v="1"/>
    <n v="91.28"/>
    <n v="0.05"/>
    <n v="86.72"/>
    <n v="59.29"/>
    <n v="27.43"/>
    <x v="3"/>
    <n v="0.31630000000000003"/>
  </r>
  <r>
    <s v="ORD0005"/>
    <d v="2025-07-09T00:00:00"/>
    <x v="0"/>
    <x v="1"/>
    <x v="1"/>
    <n v="7"/>
    <n v="38.25"/>
    <n v="0"/>
    <n v="267.75"/>
    <n v="178.84"/>
    <n v="88.91"/>
    <x v="2"/>
    <n v="0.33210000000000001"/>
  </r>
  <r>
    <s v="ORD0006"/>
    <d v="2025-05-11T00:00:00"/>
    <x v="3"/>
    <x v="0"/>
    <x v="0"/>
    <n v="6"/>
    <n v="273.85000000000002"/>
    <n v="0.05"/>
    <n v="1560.95"/>
    <n v="1127.29"/>
    <n v="433.66"/>
    <x v="4"/>
    <n v="0.27779999999999999"/>
  </r>
  <r>
    <s v="ORD0007"/>
    <d v="2025-11-12T00:00:00"/>
    <x v="0"/>
    <x v="1"/>
    <x v="1"/>
    <n v="7"/>
    <n v="41.2"/>
    <n v="0"/>
    <n v="288.39999999999998"/>
    <n v="232.95"/>
    <n v="55.45"/>
    <x v="5"/>
    <n v="0.1923"/>
  </r>
  <r>
    <s v="ORD0008"/>
    <d v="2025-09-21T00:00:00"/>
    <x v="1"/>
    <x v="4"/>
    <x v="0"/>
    <n v="2"/>
    <n v="234.43"/>
    <n v="0"/>
    <n v="468.86"/>
    <n v="348.93"/>
    <n v="119.93"/>
    <x v="6"/>
    <n v="0.25580000000000003"/>
  </r>
  <r>
    <s v="ORD0009"/>
    <d v="2025-02-23T00:00:00"/>
    <x v="0"/>
    <x v="1"/>
    <x v="1"/>
    <n v="6"/>
    <n v="62.15"/>
    <n v="0"/>
    <n v="372.9"/>
    <n v="283.88"/>
    <n v="89.02"/>
    <x v="3"/>
    <n v="0.2387"/>
  </r>
  <r>
    <s v="ORD0010"/>
    <d v="2025-07-21T00:00:00"/>
    <x v="0"/>
    <x v="5"/>
    <x v="1"/>
    <n v="6"/>
    <n v="13.97"/>
    <n v="0.1"/>
    <n v="75.44"/>
    <n v="51.9"/>
    <n v="23.54"/>
    <x v="2"/>
    <n v="0.312"/>
  </r>
  <r>
    <s v="ORD0011"/>
    <d v="2025-09-09T00:00:00"/>
    <x v="3"/>
    <x v="5"/>
    <x v="1"/>
    <n v="6"/>
    <n v="57.82"/>
    <n v="0"/>
    <n v="346.92"/>
    <n v="248.71"/>
    <n v="98.21"/>
    <x v="6"/>
    <n v="0.28310000000000002"/>
  </r>
  <r>
    <s v="ORD0012"/>
    <d v="2025-08-05T00:00:00"/>
    <x v="2"/>
    <x v="2"/>
    <x v="1"/>
    <n v="5"/>
    <n v="80.53"/>
    <n v="0"/>
    <n v="402.65"/>
    <n v="313.62"/>
    <n v="89.03"/>
    <x v="7"/>
    <n v="0.22109999999999999"/>
  </r>
  <r>
    <s v="ORD0013"/>
    <d v="2025-12-11T00:00:00"/>
    <x v="1"/>
    <x v="5"/>
    <x v="1"/>
    <n v="4"/>
    <n v="29.39"/>
    <n v="0"/>
    <n v="117.56"/>
    <n v="72.849999999999994"/>
    <n v="44.71"/>
    <x v="8"/>
    <n v="0.38030000000000003"/>
  </r>
  <r>
    <s v="ORD0014"/>
    <d v="2025-03-22T00:00:00"/>
    <x v="2"/>
    <x v="6"/>
    <x v="0"/>
    <n v="1"/>
    <n v="679.17"/>
    <n v="0"/>
    <n v="679.17"/>
    <n v="526.84"/>
    <n v="152.33000000000001"/>
    <x v="9"/>
    <n v="0.2243"/>
  </r>
  <r>
    <s v="ORD0015"/>
    <d v="2025-02-10T00:00:00"/>
    <x v="2"/>
    <x v="1"/>
    <x v="1"/>
    <n v="3"/>
    <n v="98.27"/>
    <n v="0"/>
    <n v="294.81"/>
    <n v="196.35"/>
    <n v="98.46"/>
    <x v="3"/>
    <n v="0.33400000000000002"/>
  </r>
  <r>
    <s v="ORD0016"/>
    <d v="2025-03-03T00:00:00"/>
    <x v="2"/>
    <x v="0"/>
    <x v="0"/>
    <n v="1"/>
    <n v="472.95"/>
    <n v="0"/>
    <n v="472.95"/>
    <n v="281.52999999999997"/>
    <n v="191.42"/>
    <x v="9"/>
    <n v="0.4047"/>
  </r>
  <r>
    <s v="ORD0017"/>
    <d v="2025-08-15T00:00:00"/>
    <x v="3"/>
    <x v="3"/>
    <x v="1"/>
    <n v="3"/>
    <n v="144.38999999999999"/>
    <n v="0"/>
    <n v="433.17"/>
    <n v="309.58999999999997"/>
    <n v="123.58"/>
    <x v="7"/>
    <n v="0.2853"/>
  </r>
  <r>
    <s v="ORD0018"/>
    <d v="2025-12-25T00:00:00"/>
    <x v="1"/>
    <x v="0"/>
    <x v="0"/>
    <n v="6"/>
    <n v="578.99"/>
    <n v="0.1"/>
    <n v="3126.55"/>
    <n v="1990.48"/>
    <n v="1136.07"/>
    <x v="8"/>
    <n v="0.3634"/>
  </r>
  <r>
    <s v="ORD0019"/>
    <d v="2025-03-04T00:00:00"/>
    <x v="2"/>
    <x v="6"/>
    <x v="0"/>
    <n v="7"/>
    <n v="827.9"/>
    <n v="0"/>
    <n v="5795.3"/>
    <n v="3511.34"/>
    <n v="2283.96"/>
    <x v="9"/>
    <n v="0.39410000000000001"/>
  </r>
  <r>
    <s v="ORD0020"/>
    <d v="2025-08-19T00:00:00"/>
    <x v="3"/>
    <x v="0"/>
    <x v="0"/>
    <n v="1"/>
    <n v="327.75"/>
    <n v="0.05"/>
    <n v="311.36"/>
    <n v="248.41"/>
    <n v="62.95"/>
    <x v="7"/>
    <n v="0.20219999999999999"/>
  </r>
  <r>
    <s v="ORD0021"/>
    <d v="2025-08-31T00:00:00"/>
    <x v="0"/>
    <x v="0"/>
    <x v="0"/>
    <n v="3"/>
    <n v="275.44"/>
    <n v="0.15"/>
    <n v="702.37"/>
    <n v="508.32"/>
    <n v="194.05"/>
    <x v="7"/>
    <n v="0.27629999999999999"/>
  </r>
  <r>
    <s v="ORD0022"/>
    <d v="2025-10-11T00:00:00"/>
    <x v="2"/>
    <x v="5"/>
    <x v="1"/>
    <n v="2"/>
    <n v="51.33"/>
    <n v="0"/>
    <n v="102.66"/>
    <n v="62.14"/>
    <n v="40.520000000000003"/>
    <x v="10"/>
    <n v="0.3947"/>
  </r>
  <r>
    <s v="ORD0023"/>
    <d v="2025-12-14T00:00:00"/>
    <x v="3"/>
    <x v="5"/>
    <x v="1"/>
    <n v="4"/>
    <n v="38.24"/>
    <n v="0.1"/>
    <n v="137.66"/>
    <n v="90.56"/>
    <n v="47.1"/>
    <x v="8"/>
    <n v="0.34210000000000002"/>
  </r>
  <r>
    <s v="ORD0024"/>
    <d v="2025-04-26T00:00:00"/>
    <x v="3"/>
    <x v="0"/>
    <x v="0"/>
    <n v="6"/>
    <n v="231.72"/>
    <n v="0"/>
    <n v="1390.32"/>
    <n v="948.9"/>
    <n v="441.42"/>
    <x v="0"/>
    <n v="0.3175"/>
  </r>
  <r>
    <s v="ORD0025"/>
    <d v="2025-06-14T00:00:00"/>
    <x v="3"/>
    <x v="6"/>
    <x v="0"/>
    <n v="3"/>
    <n v="554.52"/>
    <n v="0.05"/>
    <n v="1580.38"/>
    <n v="1074.94"/>
    <n v="505.44"/>
    <x v="1"/>
    <n v="0.31979999999999997"/>
  </r>
  <r>
    <s v="ORD0026"/>
    <d v="2025-04-06T00:00:00"/>
    <x v="2"/>
    <x v="1"/>
    <x v="1"/>
    <n v="2"/>
    <n v="57.07"/>
    <n v="0.15"/>
    <n v="97.02"/>
    <n v="63.8"/>
    <n v="33.22"/>
    <x v="0"/>
    <n v="0.34239999999999998"/>
  </r>
  <r>
    <s v="ORD0027"/>
    <d v="2025-10-22T00:00:00"/>
    <x v="0"/>
    <x v="6"/>
    <x v="0"/>
    <n v="4"/>
    <n v="786.36"/>
    <n v="0.15"/>
    <n v="2673.62"/>
    <n v="2168.27"/>
    <n v="505.35"/>
    <x v="10"/>
    <n v="0.189"/>
  </r>
  <r>
    <s v="ORD0028"/>
    <d v="2025-01-02T00:00:00"/>
    <x v="0"/>
    <x v="1"/>
    <x v="1"/>
    <n v="1"/>
    <n v="39.07"/>
    <n v="0.15"/>
    <n v="33.21"/>
    <n v="21.39"/>
    <n v="11.82"/>
    <x v="11"/>
    <n v="0.35589999999999999"/>
  </r>
  <r>
    <s v="ORD0029"/>
    <d v="2025-05-06T00:00:00"/>
    <x v="0"/>
    <x v="5"/>
    <x v="1"/>
    <n v="6"/>
    <n v="14.08"/>
    <n v="0"/>
    <n v="84.48"/>
    <n v="61.86"/>
    <n v="22.62"/>
    <x v="4"/>
    <n v="0.26779999999999998"/>
  </r>
  <r>
    <s v="ORD0030"/>
    <d v="2025-07-22T00:00:00"/>
    <x v="2"/>
    <x v="3"/>
    <x v="1"/>
    <n v="4"/>
    <n v="117.84"/>
    <n v="0.05"/>
    <n v="447.79"/>
    <n v="323.42"/>
    <n v="124.37"/>
    <x v="2"/>
    <n v="0.2777"/>
  </r>
  <r>
    <s v="ORD0031"/>
    <d v="2025-07-17T00:00:00"/>
    <x v="0"/>
    <x v="1"/>
    <x v="1"/>
    <n v="1"/>
    <n v="94.18"/>
    <n v="0"/>
    <n v="94.18"/>
    <n v="68.92"/>
    <n v="25.26"/>
    <x v="2"/>
    <n v="0.26819999999999999"/>
  </r>
  <r>
    <s v="ORD0032"/>
    <d v="2025-11-22T00:00:00"/>
    <x v="2"/>
    <x v="1"/>
    <x v="1"/>
    <n v="7"/>
    <n v="33.58"/>
    <n v="0.1"/>
    <n v="211.55"/>
    <n v="138.99"/>
    <n v="72.56"/>
    <x v="5"/>
    <n v="0.34300000000000003"/>
  </r>
  <r>
    <s v="ORD0033"/>
    <d v="2025-05-27T00:00:00"/>
    <x v="2"/>
    <x v="3"/>
    <x v="1"/>
    <n v="3"/>
    <n v="144.32"/>
    <n v="0.05"/>
    <n v="411.31"/>
    <n v="240.2"/>
    <n v="171.11"/>
    <x v="4"/>
    <n v="0.41599999999999998"/>
  </r>
  <r>
    <s v="ORD0034"/>
    <d v="2025-12-04T00:00:00"/>
    <x v="2"/>
    <x v="7"/>
    <x v="0"/>
    <n v="7"/>
    <n v="135.34"/>
    <n v="0.05"/>
    <n v="900.01"/>
    <n v="605.54"/>
    <n v="294.47000000000003"/>
    <x v="8"/>
    <n v="0.32719999999999999"/>
  </r>
  <r>
    <s v="ORD0035"/>
    <d v="2025-10-25T00:00:00"/>
    <x v="1"/>
    <x v="6"/>
    <x v="0"/>
    <n v="3"/>
    <n v="771.69"/>
    <n v="0"/>
    <n v="2315.0700000000002"/>
    <n v="1856.52"/>
    <n v="458.55"/>
    <x v="10"/>
    <n v="0.1981"/>
  </r>
  <r>
    <s v="ORD0036"/>
    <d v="2025-01-02T00:00:00"/>
    <x v="3"/>
    <x v="0"/>
    <x v="0"/>
    <n v="4"/>
    <n v="262.23"/>
    <n v="0.15"/>
    <n v="891.58"/>
    <n v="627.66999999999996"/>
    <n v="263.91000000000003"/>
    <x v="11"/>
    <n v="0.29599999999999999"/>
  </r>
  <r>
    <s v="ORD0037"/>
    <d v="2025-01-09T00:00:00"/>
    <x v="3"/>
    <x v="7"/>
    <x v="0"/>
    <n v="6"/>
    <n v="323.27999999999997"/>
    <n v="0.15"/>
    <n v="1648.73"/>
    <n v="1206.78"/>
    <n v="441.95"/>
    <x v="11"/>
    <n v="0.2681"/>
  </r>
  <r>
    <s v="ORD0038"/>
    <d v="2025-04-30T00:00:00"/>
    <x v="3"/>
    <x v="1"/>
    <x v="1"/>
    <n v="3"/>
    <n v="93.97"/>
    <n v="0.1"/>
    <n v="253.72"/>
    <n v="201.17"/>
    <n v="52.55"/>
    <x v="0"/>
    <n v="0.20710000000000001"/>
  </r>
  <r>
    <s v="ORD0039"/>
    <d v="2025-12-06T00:00:00"/>
    <x v="0"/>
    <x v="7"/>
    <x v="0"/>
    <n v="4"/>
    <n v="111.88"/>
    <n v="0"/>
    <n v="447.52"/>
    <n v="356.07"/>
    <n v="91.45"/>
    <x v="8"/>
    <n v="0.20430000000000001"/>
  </r>
  <r>
    <s v="ORD0040"/>
    <d v="2025-12-04T00:00:00"/>
    <x v="0"/>
    <x v="1"/>
    <x v="1"/>
    <n v="6"/>
    <n v="114.31"/>
    <n v="0.15"/>
    <n v="582.98"/>
    <n v="377.85"/>
    <n v="205.13"/>
    <x v="8"/>
    <n v="0.35189999999999999"/>
  </r>
  <r>
    <s v="ORD0041"/>
    <d v="2025-10-16T00:00:00"/>
    <x v="0"/>
    <x v="2"/>
    <x v="1"/>
    <n v="3"/>
    <n v="114.75"/>
    <n v="0"/>
    <n v="344.25"/>
    <n v="258.51"/>
    <n v="85.74"/>
    <x v="10"/>
    <n v="0.24909999999999999"/>
  </r>
  <r>
    <s v="ORD0042"/>
    <d v="2025-05-08T00:00:00"/>
    <x v="3"/>
    <x v="3"/>
    <x v="1"/>
    <n v="4"/>
    <n v="102.8"/>
    <n v="0.1"/>
    <n v="370.08"/>
    <n v="278.68"/>
    <n v="91.4"/>
    <x v="4"/>
    <n v="0.247"/>
  </r>
  <r>
    <s v="ORD0043"/>
    <d v="2025-06-07T00:00:00"/>
    <x v="0"/>
    <x v="7"/>
    <x v="0"/>
    <n v="4"/>
    <n v="222.29"/>
    <n v="0.05"/>
    <n v="844.7"/>
    <n v="540.70000000000005"/>
    <n v="304"/>
    <x v="1"/>
    <n v="0.3599"/>
  </r>
  <r>
    <s v="ORD0044"/>
    <d v="2025-10-04T00:00:00"/>
    <x v="0"/>
    <x v="2"/>
    <x v="1"/>
    <n v="5"/>
    <n v="93.28"/>
    <n v="0.15"/>
    <n v="396.44"/>
    <n v="271.27"/>
    <n v="125.17"/>
    <x v="10"/>
    <n v="0.31569999999999998"/>
  </r>
  <r>
    <s v="ORD0045"/>
    <d v="2025-10-31T00:00:00"/>
    <x v="1"/>
    <x v="6"/>
    <x v="0"/>
    <n v="4"/>
    <n v="984.8"/>
    <n v="0.1"/>
    <n v="3545.28"/>
    <n v="2252.12"/>
    <n v="1293.1600000000001"/>
    <x v="10"/>
    <n v="0.36480000000000001"/>
  </r>
  <r>
    <s v="ORD0046"/>
    <d v="2025-06-07T00:00:00"/>
    <x v="3"/>
    <x v="5"/>
    <x v="1"/>
    <n v="3"/>
    <n v="60.42"/>
    <n v="0"/>
    <n v="181.26"/>
    <n v="148.4"/>
    <n v="32.86"/>
    <x v="1"/>
    <n v="0.18129999999999999"/>
  </r>
  <r>
    <s v="ORD0047"/>
    <d v="2025-12-15T00:00:00"/>
    <x v="3"/>
    <x v="2"/>
    <x v="1"/>
    <n v="5"/>
    <n v="144.85"/>
    <n v="0.1"/>
    <n v="651.83000000000004"/>
    <n v="527.16"/>
    <n v="124.67"/>
    <x v="8"/>
    <n v="0.1913"/>
  </r>
  <r>
    <s v="ORD0048"/>
    <d v="2025-09-10T00:00:00"/>
    <x v="3"/>
    <x v="2"/>
    <x v="1"/>
    <n v="5"/>
    <n v="104.4"/>
    <n v="0.15"/>
    <n v="443.7"/>
    <n v="265.37"/>
    <n v="178.33"/>
    <x v="6"/>
    <n v="0.40189999999999998"/>
  </r>
  <r>
    <s v="ORD0049"/>
    <d v="2025-08-11T00:00:00"/>
    <x v="0"/>
    <x v="7"/>
    <x v="0"/>
    <n v="7"/>
    <n v="159.80000000000001"/>
    <n v="0.05"/>
    <n v="1062.67"/>
    <n v="711.4"/>
    <n v="351.27"/>
    <x v="7"/>
    <n v="0.3306"/>
  </r>
  <r>
    <s v="ORD0050"/>
    <d v="2025-12-08T00:00:00"/>
    <x v="1"/>
    <x v="4"/>
    <x v="0"/>
    <n v="3"/>
    <n v="316.72000000000003"/>
    <n v="0"/>
    <n v="950.16"/>
    <n v="691.34"/>
    <n v="258.82"/>
    <x v="8"/>
    <n v="0.27239999999999998"/>
  </r>
  <r>
    <s v="ORD0051"/>
    <d v="2025-10-26T00:00:00"/>
    <x v="0"/>
    <x v="4"/>
    <x v="0"/>
    <n v="7"/>
    <n v="300.68"/>
    <n v="0.1"/>
    <n v="1894.28"/>
    <n v="1435.46"/>
    <n v="458.82"/>
    <x v="10"/>
    <n v="0.2422"/>
  </r>
  <r>
    <s v="ORD0052"/>
    <d v="2025-01-13T00:00:00"/>
    <x v="2"/>
    <x v="7"/>
    <x v="0"/>
    <n v="7"/>
    <n v="166.33"/>
    <n v="0.1"/>
    <n v="1047.8800000000001"/>
    <n v="811.51"/>
    <n v="236.37"/>
    <x v="11"/>
    <n v="0.22559999999999999"/>
  </r>
  <r>
    <s v="ORD0053"/>
    <d v="2025-05-22T00:00:00"/>
    <x v="2"/>
    <x v="4"/>
    <x v="0"/>
    <n v="7"/>
    <n v="295.47000000000003"/>
    <n v="0.1"/>
    <n v="1861.46"/>
    <n v="1370.02"/>
    <n v="491.44"/>
    <x v="4"/>
    <n v="0.26400000000000001"/>
  </r>
  <r>
    <s v="ORD0054"/>
    <d v="2025-12-08T00:00:00"/>
    <x v="1"/>
    <x v="1"/>
    <x v="1"/>
    <n v="7"/>
    <n v="27.62"/>
    <n v="0.05"/>
    <n v="183.67"/>
    <n v="125.86"/>
    <n v="57.81"/>
    <x v="8"/>
    <n v="0.31469999999999998"/>
  </r>
  <r>
    <s v="ORD0055"/>
    <d v="2025-12-08T00:00:00"/>
    <x v="3"/>
    <x v="6"/>
    <x v="0"/>
    <n v="2"/>
    <n v="902.72"/>
    <n v="0"/>
    <n v="1805.44"/>
    <n v="1303.17"/>
    <n v="502.27"/>
    <x v="8"/>
    <n v="0.2782"/>
  </r>
  <r>
    <s v="ORD0056"/>
    <d v="2025-09-21T00:00:00"/>
    <x v="3"/>
    <x v="5"/>
    <x v="1"/>
    <n v="2"/>
    <n v="63.82"/>
    <n v="0"/>
    <n v="127.64"/>
    <n v="77.92"/>
    <n v="49.72"/>
    <x v="6"/>
    <n v="0.38950000000000001"/>
  </r>
  <r>
    <s v="ORD0057"/>
    <d v="2025-12-16T00:00:00"/>
    <x v="1"/>
    <x v="5"/>
    <x v="1"/>
    <n v="4"/>
    <n v="72.81"/>
    <n v="0.05"/>
    <n v="276.68"/>
    <n v="216.39"/>
    <n v="60.29"/>
    <x v="8"/>
    <n v="0.21790000000000001"/>
  </r>
  <r>
    <s v="ORD0058"/>
    <d v="2025-04-16T00:00:00"/>
    <x v="0"/>
    <x v="1"/>
    <x v="1"/>
    <n v="7"/>
    <n v="38.14"/>
    <n v="0"/>
    <n v="266.98"/>
    <n v="216.97"/>
    <n v="50.01"/>
    <x v="0"/>
    <n v="0.18729999999999999"/>
  </r>
  <r>
    <s v="ORD0059"/>
    <d v="2025-12-12T00:00:00"/>
    <x v="3"/>
    <x v="1"/>
    <x v="1"/>
    <n v="1"/>
    <n v="62.89"/>
    <n v="0"/>
    <n v="62.89"/>
    <n v="47.71"/>
    <n v="15.18"/>
    <x v="8"/>
    <n v="0.2414"/>
  </r>
  <r>
    <s v="ORD0060"/>
    <d v="2025-05-09T00:00:00"/>
    <x v="0"/>
    <x v="4"/>
    <x v="0"/>
    <n v="5"/>
    <n v="165.07"/>
    <n v="0"/>
    <n v="825.35"/>
    <n v="615.08000000000004"/>
    <n v="210.27"/>
    <x v="4"/>
    <n v="0.25480000000000003"/>
  </r>
  <r>
    <s v="ORD0061"/>
    <d v="2025-03-30T00:00:00"/>
    <x v="2"/>
    <x v="4"/>
    <x v="0"/>
    <n v="1"/>
    <n v="277.13"/>
    <n v="0"/>
    <n v="277.13"/>
    <n v="166.98"/>
    <n v="110.15"/>
    <x v="9"/>
    <n v="0.39750000000000002"/>
  </r>
  <r>
    <s v="ORD0062"/>
    <d v="2025-03-10T00:00:00"/>
    <x v="0"/>
    <x v="3"/>
    <x v="1"/>
    <n v="5"/>
    <n v="153.08000000000001"/>
    <n v="0.05"/>
    <n v="727.13"/>
    <n v="536.41"/>
    <n v="190.72"/>
    <x v="9"/>
    <n v="0.26229999999999998"/>
  </r>
  <r>
    <s v="ORD0063"/>
    <d v="2025-03-27T00:00:00"/>
    <x v="3"/>
    <x v="3"/>
    <x v="1"/>
    <n v="7"/>
    <n v="43.83"/>
    <n v="0.05"/>
    <n v="291.47000000000003"/>
    <n v="180.15"/>
    <n v="111.32"/>
    <x v="9"/>
    <n v="0.38190000000000002"/>
  </r>
  <r>
    <s v="ORD0064"/>
    <d v="2025-07-23T00:00:00"/>
    <x v="2"/>
    <x v="3"/>
    <x v="1"/>
    <n v="6"/>
    <n v="51.98"/>
    <n v="0"/>
    <n v="311.88"/>
    <n v="204.2"/>
    <n v="107.68"/>
    <x v="2"/>
    <n v="0.3453"/>
  </r>
  <r>
    <s v="ORD0065"/>
    <d v="2025-08-10T00:00:00"/>
    <x v="3"/>
    <x v="4"/>
    <x v="0"/>
    <n v="2"/>
    <n v="292.39999999999998"/>
    <n v="0.05"/>
    <n v="555.55999999999995"/>
    <n v="345.32"/>
    <n v="210.24"/>
    <x v="7"/>
    <n v="0.37840000000000001"/>
  </r>
  <r>
    <s v="ORD0066"/>
    <d v="2025-08-11T00:00:00"/>
    <x v="0"/>
    <x v="0"/>
    <x v="0"/>
    <n v="2"/>
    <n v="469.45"/>
    <n v="0.05"/>
    <n v="891.96"/>
    <n v="527.04"/>
    <n v="364.92"/>
    <x v="7"/>
    <n v="0.40910000000000002"/>
  </r>
  <r>
    <s v="ORD0067"/>
    <d v="2025-01-04T00:00:00"/>
    <x v="2"/>
    <x v="4"/>
    <x v="0"/>
    <n v="3"/>
    <n v="295.97000000000003"/>
    <n v="0.1"/>
    <n v="799.12"/>
    <n v="589.82000000000005"/>
    <n v="209.3"/>
    <x v="11"/>
    <n v="0.26190000000000002"/>
  </r>
  <r>
    <s v="ORD0068"/>
    <d v="2025-12-06T00:00:00"/>
    <x v="2"/>
    <x v="7"/>
    <x v="0"/>
    <n v="7"/>
    <n v="335.51"/>
    <n v="0.1"/>
    <n v="2113.71"/>
    <n v="1548.79"/>
    <n v="564.91999999999996"/>
    <x v="8"/>
    <n v="0.26729999999999998"/>
  </r>
  <r>
    <s v="ORD0069"/>
    <d v="2025-04-11T00:00:00"/>
    <x v="2"/>
    <x v="5"/>
    <x v="1"/>
    <n v="2"/>
    <n v="48.12"/>
    <n v="0"/>
    <n v="96.24"/>
    <n v="74.56"/>
    <n v="21.68"/>
    <x v="0"/>
    <n v="0.2253"/>
  </r>
  <r>
    <s v="ORD0070"/>
    <d v="2025-01-12T00:00:00"/>
    <x v="1"/>
    <x v="1"/>
    <x v="1"/>
    <n v="1"/>
    <n v="116.31"/>
    <n v="0.15"/>
    <n v="98.86"/>
    <n v="61.98"/>
    <n v="36.880000000000003"/>
    <x v="11"/>
    <n v="0.37309999999999999"/>
  </r>
  <r>
    <s v="ORD0071"/>
    <d v="2025-03-31T00:00:00"/>
    <x v="2"/>
    <x v="2"/>
    <x v="1"/>
    <n v="2"/>
    <n v="35.07"/>
    <n v="0.05"/>
    <n v="66.63"/>
    <n v="44.03"/>
    <n v="22.6"/>
    <x v="9"/>
    <n v="0.3392"/>
  </r>
  <r>
    <s v="ORD0072"/>
    <d v="2025-07-15T00:00:00"/>
    <x v="0"/>
    <x v="3"/>
    <x v="1"/>
    <n v="2"/>
    <n v="161.1"/>
    <n v="0"/>
    <n v="322.2"/>
    <n v="207.03"/>
    <n v="115.17"/>
    <x v="2"/>
    <n v="0.3574"/>
  </r>
  <r>
    <s v="ORD0073"/>
    <d v="2025-10-04T00:00:00"/>
    <x v="3"/>
    <x v="3"/>
    <x v="1"/>
    <n v="2"/>
    <n v="151.35"/>
    <n v="0.1"/>
    <n v="272.43"/>
    <n v="206.07"/>
    <n v="66.36"/>
    <x v="10"/>
    <n v="0.24360000000000001"/>
  </r>
  <r>
    <s v="ORD0074"/>
    <d v="2025-06-26T00:00:00"/>
    <x v="1"/>
    <x v="6"/>
    <x v="0"/>
    <n v="4"/>
    <n v="665.34"/>
    <n v="0.1"/>
    <n v="2395.2199999999998"/>
    <n v="1853.04"/>
    <n v="542.17999999999995"/>
    <x v="1"/>
    <n v="0.22639999999999999"/>
  </r>
  <r>
    <s v="ORD0075"/>
    <d v="2025-07-09T00:00:00"/>
    <x v="2"/>
    <x v="7"/>
    <x v="0"/>
    <n v="4"/>
    <n v="186.72"/>
    <n v="0.1"/>
    <n v="672.19"/>
    <n v="444.85"/>
    <n v="227.34"/>
    <x v="2"/>
    <n v="0.3382"/>
  </r>
  <r>
    <s v="ORD0076"/>
    <d v="2025-12-27T00:00:00"/>
    <x v="0"/>
    <x v="3"/>
    <x v="1"/>
    <n v="4"/>
    <n v="114.36"/>
    <n v="0.1"/>
    <n v="411.7"/>
    <n v="313.33999999999997"/>
    <n v="98.36"/>
    <x v="8"/>
    <n v="0.2389"/>
  </r>
  <r>
    <s v="ORD0077"/>
    <d v="2025-07-06T00:00:00"/>
    <x v="1"/>
    <x v="6"/>
    <x v="0"/>
    <n v="1"/>
    <n v="878.41"/>
    <n v="0.1"/>
    <n v="790.57"/>
    <n v="519.26"/>
    <n v="271.31"/>
    <x v="2"/>
    <n v="0.34320000000000001"/>
  </r>
  <r>
    <s v="ORD0078"/>
    <d v="2025-10-11T00:00:00"/>
    <x v="0"/>
    <x v="6"/>
    <x v="0"/>
    <n v="4"/>
    <n v="557.04"/>
    <n v="0.15"/>
    <n v="1893.94"/>
    <n v="1139.98"/>
    <n v="753.96"/>
    <x v="10"/>
    <n v="0.39810000000000001"/>
  </r>
  <r>
    <s v="ORD0079"/>
    <d v="2025-04-09T00:00:00"/>
    <x v="2"/>
    <x v="0"/>
    <x v="0"/>
    <n v="4"/>
    <n v="449.52"/>
    <n v="0.05"/>
    <n v="1708.18"/>
    <n v="1174.5899999999999"/>
    <n v="533.59"/>
    <x v="0"/>
    <n v="0.31240000000000001"/>
  </r>
  <r>
    <s v="ORD0080"/>
    <d v="2025-02-26T00:00:00"/>
    <x v="1"/>
    <x v="6"/>
    <x v="0"/>
    <n v="4"/>
    <n v="987.14"/>
    <n v="0.1"/>
    <n v="3553.7"/>
    <n v="2736.27"/>
    <n v="817.43"/>
    <x v="3"/>
    <n v="0.23"/>
  </r>
  <r>
    <s v="ORD0081"/>
    <d v="2025-05-13T00:00:00"/>
    <x v="1"/>
    <x v="3"/>
    <x v="1"/>
    <n v="5"/>
    <n v="126.47"/>
    <n v="0"/>
    <n v="632.35"/>
    <n v="450.16"/>
    <n v="182.19"/>
    <x v="4"/>
    <n v="0.28810000000000002"/>
  </r>
  <r>
    <s v="ORD0082"/>
    <d v="2025-03-15T00:00:00"/>
    <x v="0"/>
    <x v="0"/>
    <x v="0"/>
    <n v="5"/>
    <n v="344.93"/>
    <n v="0"/>
    <n v="1724.65"/>
    <n v="1059.48"/>
    <n v="665.17"/>
    <x v="9"/>
    <n v="0.38569999999999999"/>
  </r>
  <r>
    <s v="ORD0083"/>
    <d v="2025-06-19T00:00:00"/>
    <x v="3"/>
    <x v="5"/>
    <x v="1"/>
    <n v="1"/>
    <n v="18.37"/>
    <n v="0"/>
    <n v="18.37"/>
    <n v="13.75"/>
    <n v="4.62"/>
    <x v="1"/>
    <n v="0.2515"/>
  </r>
  <r>
    <s v="ORD0084"/>
    <d v="2025-12-05T00:00:00"/>
    <x v="2"/>
    <x v="4"/>
    <x v="0"/>
    <n v="3"/>
    <n v="358.94"/>
    <n v="0"/>
    <n v="1076.82"/>
    <n v="646.48"/>
    <n v="430.34"/>
    <x v="8"/>
    <n v="0.39960000000000001"/>
  </r>
  <r>
    <s v="ORD0085"/>
    <d v="2025-08-05T00:00:00"/>
    <x v="3"/>
    <x v="7"/>
    <x v="0"/>
    <n v="5"/>
    <n v="186.37"/>
    <n v="0.1"/>
    <n v="838.67"/>
    <n v="677.09"/>
    <n v="161.58000000000001"/>
    <x v="7"/>
    <n v="0.19270000000000001"/>
  </r>
  <r>
    <s v="ORD0086"/>
    <d v="2025-07-01T00:00:00"/>
    <x v="1"/>
    <x v="5"/>
    <x v="1"/>
    <n v="4"/>
    <n v="35.700000000000003"/>
    <n v="0"/>
    <n v="142.80000000000001"/>
    <n v="109.46"/>
    <n v="33.340000000000003"/>
    <x v="2"/>
    <n v="0.23350000000000001"/>
  </r>
  <r>
    <s v="ORD0087"/>
    <d v="2025-05-21T00:00:00"/>
    <x v="0"/>
    <x v="1"/>
    <x v="1"/>
    <n v="2"/>
    <n v="111.1"/>
    <n v="0"/>
    <n v="222.2"/>
    <n v="155.15"/>
    <n v="67.05"/>
    <x v="4"/>
    <n v="0.30180000000000001"/>
  </r>
  <r>
    <s v="ORD0088"/>
    <d v="2025-12-27T00:00:00"/>
    <x v="1"/>
    <x v="5"/>
    <x v="1"/>
    <n v="6"/>
    <n v="15.55"/>
    <n v="0"/>
    <n v="93.3"/>
    <n v="56.75"/>
    <n v="36.549999999999997"/>
    <x v="8"/>
    <n v="0.39169999999999999"/>
  </r>
  <r>
    <s v="ORD0089"/>
    <d v="2025-11-08T00:00:00"/>
    <x v="3"/>
    <x v="6"/>
    <x v="0"/>
    <n v="3"/>
    <n v="929.19"/>
    <n v="0.15"/>
    <n v="2369.4299999999998"/>
    <n v="1587.44"/>
    <n v="781.99"/>
    <x v="5"/>
    <n v="0.33"/>
  </r>
  <r>
    <s v="ORD0090"/>
    <d v="2025-11-13T00:00:00"/>
    <x v="1"/>
    <x v="2"/>
    <x v="1"/>
    <n v="5"/>
    <n v="155.22"/>
    <n v="0"/>
    <n v="776.1"/>
    <n v="630.79"/>
    <n v="145.31"/>
    <x v="5"/>
    <n v="0.18720000000000001"/>
  </r>
  <r>
    <s v="ORD0091"/>
    <d v="2025-05-27T00:00:00"/>
    <x v="2"/>
    <x v="3"/>
    <x v="1"/>
    <n v="6"/>
    <n v="206.06"/>
    <n v="0.15"/>
    <n v="1050.9100000000001"/>
    <n v="673.34"/>
    <n v="377.57"/>
    <x v="4"/>
    <n v="0.35930000000000001"/>
  </r>
  <r>
    <s v="ORD0092"/>
    <d v="2025-01-01T00:00:00"/>
    <x v="3"/>
    <x v="6"/>
    <x v="0"/>
    <n v="2"/>
    <n v="658.04"/>
    <n v="0"/>
    <n v="1316.08"/>
    <n v="856.35"/>
    <n v="459.73"/>
    <x v="11"/>
    <n v="0.3493"/>
  </r>
  <r>
    <s v="ORD0093"/>
    <d v="2025-11-26T00:00:00"/>
    <x v="2"/>
    <x v="2"/>
    <x v="1"/>
    <n v="6"/>
    <n v="79.95"/>
    <n v="0.1"/>
    <n v="431.73"/>
    <n v="345.24"/>
    <n v="86.49"/>
    <x v="5"/>
    <n v="0.20030000000000001"/>
  </r>
  <r>
    <s v="ORD0094"/>
    <d v="2025-12-14T00:00:00"/>
    <x v="2"/>
    <x v="7"/>
    <x v="0"/>
    <n v="6"/>
    <n v="208.47"/>
    <n v="0.05"/>
    <n v="1188.28"/>
    <n v="768.31"/>
    <n v="419.97"/>
    <x v="8"/>
    <n v="0.35339999999999999"/>
  </r>
  <r>
    <s v="ORD0095"/>
    <d v="2025-08-16T00:00:00"/>
    <x v="2"/>
    <x v="4"/>
    <x v="0"/>
    <n v="2"/>
    <n v="211.11"/>
    <n v="0"/>
    <n v="422.22"/>
    <n v="281.39999999999998"/>
    <n v="140.82"/>
    <x v="7"/>
    <n v="0.33350000000000002"/>
  </r>
  <r>
    <s v="ORD0096"/>
    <d v="2025-08-08T00:00:00"/>
    <x v="2"/>
    <x v="1"/>
    <x v="1"/>
    <n v="6"/>
    <n v="28.07"/>
    <n v="0"/>
    <n v="168.42"/>
    <n v="114.3"/>
    <n v="54.12"/>
    <x v="7"/>
    <n v="0.32129999999999997"/>
  </r>
  <r>
    <s v="ORD0097"/>
    <d v="2025-09-13T00:00:00"/>
    <x v="3"/>
    <x v="3"/>
    <x v="1"/>
    <n v="5"/>
    <n v="203.52"/>
    <n v="0.1"/>
    <n v="915.84"/>
    <n v="739.95"/>
    <n v="175.89"/>
    <x v="6"/>
    <n v="0.19209999999999999"/>
  </r>
  <r>
    <s v="ORD0098"/>
    <d v="2025-12-31T00:00:00"/>
    <x v="3"/>
    <x v="0"/>
    <x v="0"/>
    <n v="1"/>
    <n v="376.57"/>
    <n v="0.15"/>
    <n v="320.08"/>
    <n v="252.18"/>
    <n v="67.900000000000006"/>
    <x v="8"/>
    <n v="0.21210000000000001"/>
  </r>
  <r>
    <s v="ORD0099"/>
    <d v="2025-09-24T00:00:00"/>
    <x v="3"/>
    <x v="0"/>
    <x v="0"/>
    <n v="1"/>
    <n v="545.47"/>
    <n v="0.05"/>
    <n v="518.20000000000005"/>
    <n v="423.09"/>
    <n v="95.11"/>
    <x v="6"/>
    <n v="0.1835"/>
  </r>
  <r>
    <s v="ORD0100"/>
    <d v="2025-04-08T00:00:00"/>
    <x v="3"/>
    <x v="4"/>
    <x v="0"/>
    <n v="7"/>
    <n v="261.83"/>
    <n v="0.1"/>
    <n v="1649.53"/>
    <n v="1182.02"/>
    <n v="467.51"/>
    <x v="0"/>
    <n v="0.28339999999999999"/>
  </r>
  <r>
    <s v="ORD0101"/>
    <d v="2025-07-16T00:00:00"/>
    <x v="1"/>
    <x v="1"/>
    <x v="1"/>
    <n v="7"/>
    <n v="50.97"/>
    <n v="0"/>
    <n v="356.79"/>
    <n v="280.98"/>
    <n v="75.81"/>
    <x v="2"/>
    <n v="0.21249999999999999"/>
  </r>
  <r>
    <s v="ORD0102"/>
    <d v="2025-07-21T00:00:00"/>
    <x v="0"/>
    <x v="3"/>
    <x v="1"/>
    <n v="6"/>
    <n v="203.94"/>
    <n v="0.05"/>
    <n v="1162.46"/>
    <n v="876.81"/>
    <n v="285.64999999999998"/>
    <x v="2"/>
    <n v="0.2457"/>
  </r>
  <r>
    <s v="ORD0103"/>
    <d v="2025-06-22T00:00:00"/>
    <x v="3"/>
    <x v="1"/>
    <x v="1"/>
    <n v="1"/>
    <n v="47.9"/>
    <n v="0"/>
    <n v="47.9"/>
    <n v="30.67"/>
    <n v="17.23"/>
    <x v="1"/>
    <n v="0.35970000000000002"/>
  </r>
  <r>
    <s v="ORD0104"/>
    <d v="2025-04-05T00:00:00"/>
    <x v="2"/>
    <x v="5"/>
    <x v="1"/>
    <n v="6"/>
    <n v="67.33"/>
    <n v="0.1"/>
    <n v="363.58"/>
    <n v="214.97"/>
    <n v="148.61000000000001"/>
    <x v="0"/>
    <n v="0.40870000000000001"/>
  </r>
  <r>
    <s v="ORD0105"/>
    <d v="2025-11-02T00:00:00"/>
    <x v="2"/>
    <x v="0"/>
    <x v="0"/>
    <n v="2"/>
    <n v="414.14"/>
    <n v="0.05"/>
    <n v="786.87"/>
    <n v="613.39"/>
    <n v="173.48"/>
    <x v="5"/>
    <n v="0.2205"/>
  </r>
  <r>
    <s v="ORD0106"/>
    <d v="2025-04-22T00:00:00"/>
    <x v="1"/>
    <x v="6"/>
    <x v="0"/>
    <n v="6"/>
    <n v="1179.18"/>
    <n v="0"/>
    <n v="7075.08"/>
    <n v="5448.07"/>
    <n v="1627.01"/>
    <x v="0"/>
    <n v="0.23"/>
  </r>
  <r>
    <s v="ORD0107"/>
    <d v="2025-04-13T00:00:00"/>
    <x v="0"/>
    <x v="0"/>
    <x v="0"/>
    <n v="7"/>
    <n v="534.91"/>
    <n v="0.05"/>
    <n v="3557.15"/>
    <n v="2664.23"/>
    <n v="892.92"/>
    <x v="0"/>
    <n v="0.251"/>
  </r>
  <r>
    <s v="ORD0108"/>
    <d v="2025-12-01T00:00:00"/>
    <x v="1"/>
    <x v="7"/>
    <x v="0"/>
    <n v="4"/>
    <n v="344.92"/>
    <n v="0.05"/>
    <n v="1310.7"/>
    <n v="960.47"/>
    <n v="350.23"/>
    <x v="8"/>
    <n v="0.26719999999999999"/>
  </r>
  <r>
    <s v="ORD0109"/>
    <d v="2025-12-01T00:00:00"/>
    <x v="2"/>
    <x v="1"/>
    <x v="1"/>
    <n v="7"/>
    <n v="94.01"/>
    <n v="0.05"/>
    <n v="625.16999999999996"/>
    <n v="430.25"/>
    <n v="194.92"/>
    <x v="8"/>
    <n v="0.31180000000000002"/>
  </r>
  <r>
    <s v="ORD0110"/>
    <d v="2025-05-18T00:00:00"/>
    <x v="2"/>
    <x v="2"/>
    <x v="1"/>
    <n v="7"/>
    <n v="98.07"/>
    <n v="0.05"/>
    <n v="652.16999999999996"/>
    <n v="502.92"/>
    <n v="149.25"/>
    <x v="4"/>
    <n v="0.22889999999999999"/>
  </r>
  <r>
    <s v="ORD0111"/>
    <d v="2025-09-19T00:00:00"/>
    <x v="3"/>
    <x v="6"/>
    <x v="0"/>
    <n v="2"/>
    <n v="1049.8"/>
    <n v="0"/>
    <n v="2099.6"/>
    <n v="1240.8800000000001"/>
    <n v="858.72"/>
    <x v="6"/>
    <n v="0.40899999999999997"/>
  </r>
  <r>
    <s v="ORD0112"/>
    <d v="2025-04-21T00:00:00"/>
    <x v="3"/>
    <x v="4"/>
    <x v="0"/>
    <n v="5"/>
    <n v="204.83"/>
    <n v="0.05"/>
    <n v="972.94"/>
    <n v="644.05999999999995"/>
    <n v="328.88"/>
    <x v="0"/>
    <n v="0.33800000000000002"/>
  </r>
  <r>
    <s v="ORD0113"/>
    <d v="2025-12-26T00:00:00"/>
    <x v="2"/>
    <x v="0"/>
    <x v="0"/>
    <n v="7"/>
    <n v="454.84"/>
    <n v="0"/>
    <n v="3183.88"/>
    <n v="2379.7600000000002"/>
    <n v="804.12"/>
    <x v="8"/>
    <n v="0.25259999999999999"/>
  </r>
  <r>
    <s v="ORD0114"/>
    <d v="2025-03-02T00:00:00"/>
    <x v="0"/>
    <x v="7"/>
    <x v="0"/>
    <n v="1"/>
    <n v="323.16000000000003"/>
    <n v="0.05"/>
    <n v="307"/>
    <n v="227.25"/>
    <n v="79.75"/>
    <x v="9"/>
    <n v="0.25979999999999998"/>
  </r>
  <r>
    <s v="ORD0115"/>
    <d v="2025-01-22T00:00:00"/>
    <x v="3"/>
    <x v="1"/>
    <x v="1"/>
    <n v="3"/>
    <n v="103.07"/>
    <n v="0"/>
    <n v="309.20999999999998"/>
    <n v="205.14"/>
    <n v="104.07"/>
    <x v="11"/>
    <n v="0.33660000000000001"/>
  </r>
  <r>
    <s v="ORD0116"/>
    <d v="2025-03-19T00:00:00"/>
    <x v="0"/>
    <x v="2"/>
    <x v="1"/>
    <n v="1"/>
    <n v="99.48"/>
    <n v="0"/>
    <n v="99.48"/>
    <n v="79.05"/>
    <n v="20.43"/>
    <x v="9"/>
    <n v="0.2054"/>
  </r>
  <r>
    <s v="ORD0117"/>
    <d v="2025-08-27T00:00:00"/>
    <x v="2"/>
    <x v="3"/>
    <x v="1"/>
    <n v="3"/>
    <n v="42.27"/>
    <n v="0.1"/>
    <n v="114.13"/>
    <n v="83.39"/>
    <n v="30.74"/>
    <x v="7"/>
    <n v="0.26929999999999998"/>
  </r>
  <r>
    <s v="ORD0118"/>
    <d v="2025-09-14T00:00:00"/>
    <x v="2"/>
    <x v="2"/>
    <x v="1"/>
    <n v="3"/>
    <n v="149.71"/>
    <n v="0"/>
    <n v="449.13"/>
    <n v="290.33999999999997"/>
    <n v="158.79"/>
    <x v="6"/>
    <n v="0.35360000000000003"/>
  </r>
  <r>
    <s v="ORD0119"/>
    <d v="2025-08-02T00:00:00"/>
    <x v="0"/>
    <x v="6"/>
    <x v="0"/>
    <n v="3"/>
    <n v="669.94"/>
    <n v="0"/>
    <n v="2009.82"/>
    <n v="1344.4"/>
    <n v="665.42"/>
    <x v="7"/>
    <n v="0.33110000000000001"/>
  </r>
  <r>
    <s v="ORD0120"/>
    <d v="2025-01-14T00:00:00"/>
    <x v="1"/>
    <x v="4"/>
    <x v="0"/>
    <n v="4"/>
    <n v="254.36"/>
    <n v="0.05"/>
    <n v="966.57"/>
    <n v="734.01"/>
    <n v="232.56"/>
    <x v="11"/>
    <n v="0.24060000000000001"/>
  </r>
  <r>
    <s v="ORD0121"/>
    <d v="2025-08-27T00:00:00"/>
    <x v="2"/>
    <x v="7"/>
    <x v="0"/>
    <n v="3"/>
    <n v="275.47000000000003"/>
    <n v="0.1"/>
    <n v="743.77"/>
    <n v="522.72"/>
    <n v="221.05"/>
    <x v="7"/>
    <n v="0.29720000000000002"/>
  </r>
  <r>
    <s v="ORD0122"/>
    <d v="2025-04-29T00:00:00"/>
    <x v="3"/>
    <x v="3"/>
    <x v="1"/>
    <n v="2"/>
    <n v="117.77"/>
    <n v="0.05"/>
    <n v="223.76"/>
    <n v="142.80000000000001"/>
    <n v="80.959999999999994"/>
    <x v="0"/>
    <n v="0.36180000000000001"/>
  </r>
  <r>
    <s v="ORD0123"/>
    <d v="2025-05-06T00:00:00"/>
    <x v="2"/>
    <x v="5"/>
    <x v="1"/>
    <n v="2"/>
    <n v="47.53"/>
    <n v="0.1"/>
    <n v="85.55"/>
    <n v="51.45"/>
    <n v="34.1"/>
    <x v="4"/>
    <n v="0.39860000000000001"/>
  </r>
  <r>
    <s v="ORD0124"/>
    <d v="2025-08-21T00:00:00"/>
    <x v="3"/>
    <x v="6"/>
    <x v="0"/>
    <n v="1"/>
    <n v="772.9"/>
    <n v="0.05"/>
    <n v="734.26"/>
    <n v="488.45"/>
    <n v="245.81"/>
    <x v="7"/>
    <n v="0.33479999999999999"/>
  </r>
  <r>
    <s v="ORD0125"/>
    <d v="2025-08-24T00:00:00"/>
    <x v="1"/>
    <x v="4"/>
    <x v="0"/>
    <n v="7"/>
    <n v="321.10000000000002"/>
    <n v="0.1"/>
    <n v="2022.93"/>
    <n v="1444.09"/>
    <n v="578.84"/>
    <x v="7"/>
    <n v="0.28610000000000002"/>
  </r>
  <r>
    <s v="ORD0126"/>
    <d v="2025-11-11T00:00:00"/>
    <x v="3"/>
    <x v="4"/>
    <x v="0"/>
    <n v="1"/>
    <n v="244.61"/>
    <n v="0.1"/>
    <n v="220.15"/>
    <n v="159.79"/>
    <n v="60.36"/>
    <x v="5"/>
    <n v="0.2742"/>
  </r>
  <r>
    <s v="ORD0127"/>
    <d v="2025-03-11T00:00:00"/>
    <x v="1"/>
    <x v="2"/>
    <x v="1"/>
    <n v="5"/>
    <n v="151.38"/>
    <n v="0"/>
    <n v="756.9"/>
    <n v="479.94"/>
    <n v="276.95999999999998"/>
    <x v="9"/>
    <n v="0.3659"/>
  </r>
  <r>
    <s v="ORD0128"/>
    <d v="2025-06-01T00:00:00"/>
    <x v="1"/>
    <x v="7"/>
    <x v="0"/>
    <n v="4"/>
    <n v="311.20999999999998"/>
    <n v="0"/>
    <n v="1244.8399999999999"/>
    <n v="962.77"/>
    <n v="282.07"/>
    <x v="1"/>
    <n v="0.2266"/>
  </r>
  <r>
    <s v="ORD0129"/>
    <d v="2025-08-11T00:00:00"/>
    <x v="0"/>
    <x v="6"/>
    <x v="0"/>
    <n v="7"/>
    <n v="583.55999999999995"/>
    <n v="0"/>
    <n v="4084.92"/>
    <n v="3052.54"/>
    <n v="1032.3800000000001"/>
    <x v="7"/>
    <n v="0.25269999999999998"/>
  </r>
  <r>
    <s v="ORD0130"/>
    <d v="2025-04-04T00:00:00"/>
    <x v="2"/>
    <x v="4"/>
    <x v="0"/>
    <n v="4"/>
    <n v="440.54"/>
    <n v="0.1"/>
    <n v="1585.94"/>
    <n v="1230.8399999999999"/>
    <n v="355.1"/>
    <x v="0"/>
    <n v="0.22389999999999999"/>
  </r>
  <r>
    <s v="ORD0131"/>
    <d v="2025-01-26T00:00:00"/>
    <x v="1"/>
    <x v="2"/>
    <x v="1"/>
    <n v="3"/>
    <n v="136.71"/>
    <n v="0.1"/>
    <n v="369.12"/>
    <n v="261.49"/>
    <n v="107.63"/>
    <x v="11"/>
    <n v="0.29160000000000003"/>
  </r>
  <r>
    <s v="ORD0132"/>
    <d v="2025-07-31T00:00:00"/>
    <x v="3"/>
    <x v="3"/>
    <x v="1"/>
    <n v="4"/>
    <n v="72.94"/>
    <n v="0.15"/>
    <n v="248"/>
    <n v="186.16"/>
    <n v="61.84"/>
    <x v="2"/>
    <n v="0.24940000000000001"/>
  </r>
  <r>
    <s v="ORD0133"/>
    <d v="2025-02-07T00:00:00"/>
    <x v="3"/>
    <x v="5"/>
    <x v="1"/>
    <n v="1"/>
    <n v="45.38"/>
    <n v="0.1"/>
    <n v="40.840000000000003"/>
    <n v="31.21"/>
    <n v="9.6300000000000008"/>
    <x v="3"/>
    <n v="0.23580000000000001"/>
  </r>
  <r>
    <s v="ORD0134"/>
    <d v="2025-06-27T00:00:00"/>
    <x v="2"/>
    <x v="2"/>
    <x v="1"/>
    <n v="3"/>
    <n v="151.16"/>
    <n v="0"/>
    <n v="453.48"/>
    <n v="327.64999999999998"/>
    <n v="125.83"/>
    <x v="1"/>
    <n v="0.27750000000000002"/>
  </r>
  <r>
    <s v="ORD0135"/>
    <d v="2025-05-10T00:00:00"/>
    <x v="2"/>
    <x v="4"/>
    <x v="0"/>
    <n v="5"/>
    <n v="159.65"/>
    <n v="0.15"/>
    <n v="678.51"/>
    <n v="446.03"/>
    <n v="232.48"/>
    <x v="4"/>
    <n v="0.34260000000000002"/>
  </r>
  <r>
    <s v="ORD0136"/>
    <d v="2025-02-07T00:00:00"/>
    <x v="1"/>
    <x v="6"/>
    <x v="0"/>
    <n v="7"/>
    <n v="992.98"/>
    <n v="0.1"/>
    <n v="6255.77"/>
    <n v="4522.63"/>
    <n v="1733.14"/>
    <x v="3"/>
    <n v="0.27700000000000002"/>
  </r>
  <r>
    <s v="ORD0137"/>
    <d v="2025-11-30T00:00:00"/>
    <x v="3"/>
    <x v="1"/>
    <x v="1"/>
    <n v="6"/>
    <n v="35.14"/>
    <n v="0.1"/>
    <n v="189.76"/>
    <n v="144.03"/>
    <n v="45.73"/>
    <x v="5"/>
    <n v="0.24099999999999999"/>
  </r>
  <r>
    <s v="ORD0138"/>
    <d v="2025-10-23T00:00:00"/>
    <x v="2"/>
    <x v="7"/>
    <x v="0"/>
    <n v="3"/>
    <n v="333.97"/>
    <n v="0"/>
    <n v="1001.91"/>
    <n v="597.1"/>
    <n v="404.81"/>
    <x v="10"/>
    <n v="0.40400000000000003"/>
  </r>
  <r>
    <s v="ORD0139"/>
    <d v="2025-09-27T00:00:00"/>
    <x v="2"/>
    <x v="2"/>
    <x v="1"/>
    <n v="4"/>
    <n v="139.44"/>
    <n v="0"/>
    <n v="557.76"/>
    <n v="429.96"/>
    <n v="127.8"/>
    <x v="6"/>
    <n v="0.2291"/>
  </r>
  <r>
    <s v="ORD0140"/>
    <d v="2025-03-03T00:00:00"/>
    <x v="2"/>
    <x v="2"/>
    <x v="1"/>
    <n v="3"/>
    <n v="51.35"/>
    <n v="0.1"/>
    <n v="138.65"/>
    <n v="102.55"/>
    <n v="36.1"/>
    <x v="9"/>
    <n v="0.26040000000000002"/>
  </r>
  <r>
    <s v="ORD0141"/>
    <d v="2025-04-14T00:00:00"/>
    <x v="0"/>
    <x v="6"/>
    <x v="0"/>
    <n v="5"/>
    <n v="932.4"/>
    <n v="0.05"/>
    <n v="4428.8999999999996"/>
    <n v="3049.15"/>
    <n v="1379.75"/>
    <x v="0"/>
    <n v="0.3115"/>
  </r>
  <r>
    <s v="ORD0142"/>
    <d v="2025-06-02T00:00:00"/>
    <x v="3"/>
    <x v="7"/>
    <x v="0"/>
    <n v="3"/>
    <n v="252.27"/>
    <n v="0.05"/>
    <n v="718.97"/>
    <n v="492.71"/>
    <n v="226.26"/>
    <x v="1"/>
    <n v="0.31469999999999998"/>
  </r>
  <r>
    <s v="ORD0143"/>
    <d v="2025-02-08T00:00:00"/>
    <x v="1"/>
    <x v="6"/>
    <x v="0"/>
    <n v="7"/>
    <n v="799.53"/>
    <n v="0.05"/>
    <n v="5316.87"/>
    <n v="4240.49"/>
    <n v="1076.3800000000001"/>
    <x v="3"/>
    <n v="0.2024"/>
  </r>
  <r>
    <s v="ORD0144"/>
    <d v="2025-01-15T00:00:00"/>
    <x v="1"/>
    <x v="2"/>
    <x v="1"/>
    <n v="6"/>
    <n v="73.27"/>
    <n v="0.1"/>
    <n v="395.66"/>
    <n v="295.36"/>
    <n v="100.3"/>
    <x v="11"/>
    <n v="0.2535"/>
  </r>
  <r>
    <s v="ORD0145"/>
    <d v="2025-02-07T00:00:00"/>
    <x v="3"/>
    <x v="3"/>
    <x v="1"/>
    <n v="1"/>
    <n v="133.69"/>
    <n v="0.1"/>
    <n v="120.32"/>
    <n v="92.56"/>
    <n v="27.76"/>
    <x v="3"/>
    <n v="0.23069999999999999"/>
  </r>
  <r>
    <s v="ORD0146"/>
    <d v="2025-03-27T00:00:00"/>
    <x v="0"/>
    <x v="6"/>
    <x v="0"/>
    <n v="5"/>
    <n v="711.52"/>
    <n v="0.1"/>
    <n v="3201.84"/>
    <n v="1882.83"/>
    <n v="1319.01"/>
    <x v="9"/>
    <n v="0.41199999999999998"/>
  </r>
  <r>
    <s v="ORD0147"/>
    <d v="2025-06-08T00:00:00"/>
    <x v="1"/>
    <x v="4"/>
    <x v="0"/>
    <n v="5"/>
    <n v="411.8"/>
    <n v="0"/>
    <n v="2059"/>
    <n v="1600.05"/>
    <n v="458.95"/>
    <x v="1"/>
    <n v="0.22289999999999999"/>
  </r>
  <r>
    <s v="ORD0148"/>
    <d v="2025-09-18T00:00:00"/>
    <x v="3"/>
    <x v="5"/>
    <x v="1"/>
    <n v="5"/>
    <n v="20.03"/>
    <n v="0"/>
    <n v="100.15"/>
    <n v="77.25"/>
    <n v="22.9"/>
    <x v="6"/>
    <n v="0.22869999999999999"/>
  </r>
  <r>
    <s v="ORD0149"/>
    <d v="2025-08-31T00:00:00"/>
    <x v="2"/>
    <x v="0"/>
    <x v="0"/>
    <n v="4"/>
    <n v="519.46"/>
    <n v="0.1"/>
    <n v="1870.06"/>
    <n v="1372.39"/>
    <n v="497.67"/>
    <x v="7"/>
    <n v="0.2661"/>
  </r>
  <r>
    <s v="ORD0150"/>
    <d v="2025-11-26T00:00:00"/>
    <x v="2"/>
    <x v="5"/>
    <x v="1"/>
    <n v="2"/>
    <n v="27.86"/>
    <n v="0"/>
    <n v="55.72"/>
    <n v="34.75"/>
    <n v="20.97"/>
    <x v="5"/>
    <n v="0.37630000000000002"/>
  </r>
  <r>
    <s v="ORD0151"/>
    <d v="2025-08-06T00:00:00"/>
    <x v="3"/>
    <x v="2"/>
    <x v="1"/>
    <n v="6"/>
    <n v="82.11"/>
    <n v="0.05"/>
    <n v="468.03"/>
    <n v="377.86"/>
    <n v="90.17"/>
    <x v="7"/>
    <n v="0.19270000000000001"/>
  </r>
  <r>
    <s v="ORD0152"/>
    <d v="2025-06-20T00:00:00"/>
    <x v="2"/>
    <x v="7"/>
    <x v="0"/>
    <n v="6"/>
    <n v="116.21"/>
    <n v="0"/>
    <n v="697.26"/>
    <n v="525.91999999999996"/>
    <n v="171.34"/>
    <x v="1"/>
    <n v="0.2457"/>
  </r>
  <r>
    <s v="ORD0153"/>
    <d v="2025-05-07T00:00:00"/>
    <x v="0"/>
    <x v="5"/>
    <x v="1"/>
    <n v="4"/>
    <n v="69.88"/>
    <n v="0.1"/>
    <n v="251.57"/>
    <n v="147.30000000000001"/>
    <n v="104.27"/>
    <x v="4"/>
    <n v="0.41449999999999998"/>
  </r>
  <r>
    <s v="ORD0154"/>
    <d v="2025-10-23T00:00:00"/>
    <x v="3"/>
    <x v="6"/>
    <x v="0"/>
    <n v="4"/>
    <n v="793.38"/>
    <n v="0"/>
    <n v="3173.52"/>
    <n v="1899.53"/>
    <n v="1273.99"/>
    <x v="10"/>
    <n v="0.40139999999999998"/>
  </r>
  <r>
    <s v="ORD0155"/>
    <d v="2025-04-20T00:00:00"/>
    <x v="2"/>
    <x v="2"/>
    <x v="1"/>
    <n v="3"/>
    <n v="88.61"/>
    <n v="0"/>
    <n v="265.83"/>
    <n v="217.01"/>
    <n v="48.82"/>
    <x v="0"/>
    <n v="0.1837"/>
  </r>
  <r>
    <s v="ORD0156"/>
    <d v="2025-05-29T00:00:00"/>
    <x v="1"/>
    <x v="2"/>
    <x v="1"/>
    <n v="7"/>
    <n v="149.71"/>
    <n v="0.1"/>
    <n v="943.17"/>
    <n v="664.48"/>
    <n v="278.69"/>
    <x v="4"/>
    <n v="0.29549999999999998"/>
  </r>
  <r>
    <s v="ORD0157"/>
    <d v="2025-10-18T00:00:00"/>
    <x v="1"/>
    <x v="6"/>
    <x v="0"/>
    <n v="5"/>
    <n v="767.88"/>
    <n v="0.1"/>
    <n v="3455.46"/>
    <n v="2008.01"/>
    <n v="1447.45"/>
    <x v="10"/>
    <n v="0.41889999999999999"/>
  </r>
  <r>
    <s v="ORD0158"/>
    <d v="2025-12-13T00:00:00"/>
    <x v="3"/>
    <x v="5"/>
    <x v="1"/>
    <n v="1"/>
    <n v="66.400000000000006"/>
    <n v="0.15"/>
    <n v="56.44"/>
    <n v="39.04"/>
    <n v="17.399999999999999"/>
    <x v="8"/>
    <n v="0.30830000000000002"/>
  </r>
  <r>
    <s v="ORD0159"/>
    <d v="2025-01-25T00:00:00"/>
    <x v="1"/>
    <x v="7"/>
    <x v="0"/>
    <n v="3"/>
    <n v="98.54"/>
    <n v="0.15"/>
    <n v="251.28"/>
    <n v="160.71"/>
    <n v="90.57"/>
    <x v="11"/>
    <n v="0.3604"/>
  </r>
  <r>
    <s v="ORD0160"/>
    <d v="2025-05-30T00:00:00"/>
    <x v="0"/>
    <x v="5"/>
    <x v="1"/>
    <n v="6"/>
    <n v="14.13"/>
    <n v="0"/>
    <n v="84.78"/>
    <n v="65.05"/>
    <n v="19.73"/>
    <x v="4"/>
    <n v="0.23269999999999999"/>
  </r>
  <r>
    <s v="ORD0161"/>
    <d v="2025-06-26T00:00:00"/>
    <x v="2"/>
    <x v="5"/>
    <x v="1"/>
    <n v="2"/>
    <n v="53.8"/>
    <n v="0"/>
    <n v="107.6"/>
    <n v="87.23"/>
    <n v="20.37"/>
    <x v="1"/>
    <n v="0.1893"/>
  </r>
  <r>
    <s v="ORD0162"/>
    <d v="2025-09-14T00:00:00"/>
    <x v="2"/>
    <x v="2"/>
    <x v="1"/>
    <n v="6"/>
    <n v="41.1"/>
    <n v="0.15"/>
    <n v="209.61"/>
    <n v="146.84"/>
    <n v="62.77"/>
    <x v="6"/>
    <n v="0.29949999999999999"/>
  </r>
  <r>
    <s v="ORD0163"/>
    <d v="2025-02-01T00:00:00"/>
    <x v="0"/>
    <x v="3"/>
    <x v="1"/>
    <n v="6"/>
    <n v="173.74"/>
    <n v="0"/>
    <n v="1042.44"/>
    <n v="829.3"/>
    <n v="213.14"/>
    <x v="3"/>
    <n v="0.20449999999999999"/>
  </r>
  <r>
    <s v="ORD0164"/>
    <d v="2025-01-18T00:00:00"/>
    <x v="3"/>
    <x v="3"/>
    <x v="1"/>
    <n v="1"/>
    <n v="41.76"/>
    <n v="0.05"/>
    <n v="39.67"/>
    <n v="28.39"/>
    <n v="11.28"/>
    <x v="11"/>
    <n v="0.2843"/>
  </r>
  <r>
    <s v="ORD0165"/>
    <d v="2025-04-24T00:00:00"/>
    <x v="0"/>
    <x v="2"/>
    <x v="1"/>
    <n v="3"/>
    <n v="88.93"/>
    <n v="0.05"/>
    <n v="253.45"/>
    <n v="173.81"/>
    <n v="79.64"/>
    <x v="0"/>
    <n v="0.31419999999999998"/>
  </r>
  <r>
    <s v="ORD0166"/>
    <d v="2025-12-25T00:00:00"/>
    <x v="1"/>
    <x v="2"/>
    <x v="1"/>
    <n v="3"/>
    <n v="50.18"/>
    <n v="0"/>
    <n v="150.54"/>
    <n v="118.45"/>
    <n v="32.090000000000003"/>
    <x v="8"/>
    <n v="0.2132"/>
  </r>
  <r>
    <s v="ORD0167"/>
    <d v="2025-03-28T00:00:00"/>
    <x v="1"/>
    <x v="7"/>
    <x v="0"/>
    <n v="2"/>
    <n v="160.38999999999999"/>
    <n v="0.05"/>
    <n v="304.74"/>
    <n v="206.64"/>
    <n v="98.1"/>
    <x v="9"/>
    <n v="0.32190000000000002"/>
  </r>
  <r>
    <s v="ORD0168"/>
    <d v="2025-11-19T00:00:00"/>
    <x v="2"/>
    <x v="5"/>
    <x v="1"/>
    <n v="2"/>
    <n v="66.62"/>
    <n v="0"/>
    <n v="133.24"/>
    <n v="94.92"/>
    <n v="38.32"/>
    <x v="5"/>
    <n v="0.28760000000000002"/>
  </r>
  <r>
    <s v="ORD0169"/>
    <d v="2025-08-17T00:00:00"/>
    <x v="1"/>
    <x v="0"/>
    <x v="0"/>
    <n v="3"/>
    <n v="417.59"/>
    <n v="0.05"/>
    <n v="1190.1300000000001"/>
    <n v="787.18"/>
    <n v="402.95"/>
    <x v="7"/>
    <n v="0.33860000000000001"/>
  </r>
  <r>
    <s v="ORD0170"/>
    <d v="2025-03-29T00:00:00"/>
    <x v="0"/>
    <x v="1"/>
    <x v="1"/>
    <n v="1"/>
    <n v="77.89"/>
    <n v="0.1"/>
    <n v="70.099999999999994"/>
    <n v="54.21"/>
    <n v="15.89"/>
    <x v="9"/>
    <n v="0.22670000000000001"/>
  </r>
  <r>
    <s v="ORD0171"/>
    <d v="2025-08-11T00:00:00"/>
    <x v="1"/>
    <x v="7"/>
    <x v="0"/>
    <n v="6"/>
    <n v="305.86"/>
    <n v="0"/>
    <n v="1835.16"/>
    <n v="1358.64"/>
    <n v="476.52"/>
    <x v="7"/>
    <n v="0.25969999999999999"/>
  </r>
  <r>
    <s v="ORD0172"/>
    <d v="2025-05-27T00:00:00"/>
    <x v="2"/>
    <x v="7"/>
    <x v="0"/>
    <n v="2"/>
    <n v="93.38"/>
    <n v="0"/>
    <n v="186.76"/>
    <n v="117.64"/>
    <n v="69.12"/>
    <x v="4"/>
    <n v="0.37009999999999998"/>
  </r>
  <r>
    <s v="ORD0173"/>
    <d v="2025-10-30T00:00:00"/>
    <x v="3"/>
    <x v="3"/>
    <x v="1"/>
    <n v="3"/>
    <n v="142.86000000000001"/>
    <n v="0"/>
    <n v="428.58"/>
    <n v="340.4"/>
    <n v="88.18"/>
    <x v="10"/>
    <n v="0.20569999999999999"/>
  </r>
  <r>
    <s v="ORD0174"/>
    <d v="2025-01-20T00:00:00"/>
    <x v="3"/>
    <x v="5"/>
    <x v="1"/>
    <n v="3"/>
    <n v="28.34"/>
    <n v="0"/>
    <n v="85.02"/>
    <n v="61.36"/>
    <n v="23.66"/>
    <x v="11"/>
    <n v="0.27829999999999999"/>
  </r>
  <r>
    <s v="ORD0175"/>
    <d v="2025-12-21T00:00:00"/>
    <x v="2"/>
    <x v="3"/>
    <x v="1"/>
    <n v="6"/>
    <n v="178.16"/>
    <n v="0"/>
    <n v="1068.96"/>
    <n v="840.9"/>
    <n v="228.06"/>
    <x v="8"/>
    <n v="0.21329999999999999"/>
  </r>
  <r>
    <s v="ORD0176"/>
    <d v="2025-02-28T00:00:00"/>
    <x v="0"/>
    <x v="4"/>
    <x v="0"/>
    <n v="6"/>
    <n v="381.73"/>
    <n v="0"/>
    <n v="2290.38"/>
    <n v="1639.42"/>
    <n v="650.96"/>
    <x v="3"/>
    <n v="0.28420000000000001"/>
  </r>
  <r>
    <s v="ORD0177"/>
    <d v="2025-08-25T00:00:00"/>
    <x v="3"/>
    <x v="0"/>
    <x v="0"/>
    <n v="1"/>
    <n v="407.85"/>
    <n v="0.05"/>
    <n v="387.46"/>
    <n v="293.7"/>
    <n v="93.76"/>
    <x v="7"/>
    <n v="0.24199999999999999"/>
  </r>
  <r>
    <s v="ORD0178"/>
    <d v="2025-01-29T00:00:00"/>
    <x v="3"/>
    <x v="0"/>
    <x v="0"/>
    <n v="1"/>
    <n v="245.5"/>
    <n v="0.1"/>
    <n v="220.95"/>
    <n v="180.35"/>
    <n v="40.6"/>
    <x v="11"/>
    <n v="0.18379999999999999"/>
  </r>
  <r>
    <s v="ORD0179"/>
    <d v="2025-02-11T00:00:00"/>
    <x v="2"/>
    <x v="4"/>
    <x v="0"/>
    <n v="7"/>
    <n v="351.79"/>
    <n v="0.1"/>
    <n v="2216.2800000000002"/>
    <n v="1567.17"/>
    <n v="649.11"/>
    <x v="3"/>
    <n v="0.29289999999999999"/>
  </r>
  <r>
    <s v="ORD0180"/>
    <d v="2025-03-17T00:00:00"/>
    <x v="1"/>
    <x v="6"/>
    <x v="0"/>
    <n v="6"/>
    <n v="593.66"/>
    <n v="0"/>
    <n v="3561.96"/>
    <n v="2491.1999999999998"/>
    <n v="1070.76"/>
    <x v="9"/>
    <n v="0.30059999999999998"/>
  </r>
  <r>
    <s v="ORD0181"/>
    <d v="2025-08-07T00:00:00"/>
    <x v="2"/>
    <x v="3"/>
    <x v="1"/>
    <n v="2"/>
    <n v="60.9"/>
    <n v="0"/>
    <n v="121.8"/>
    <n v="78.430000000000007"/>
    <n v="43.37"/>
    <x v="7"/>
    <n v="0.35610000000000003"/>
  </r>
  <r>
    <s v="ORD0182"/>
    <d v="2025-07-09T00:00:00"/>
    <x v="0"/>
    <x v="4"/>
    <x v="0"/>
    <n v="4"/>
    <n v="336.26"/>
    <n v="0.05"/>
    <n v="1277.79"/>
    <n v="916.93"/>
    <n v="360.86"/>
    <x v="2"/>
    <n v="0.28239999999999998"/>
  </r>
  <r>
    <s v="ORD0183"/>
    <d v="2025-10-19T00:00:00"/>
    <x v="1"/>
    <x v="2"/>
    <x v="1"/>
    <n v="2"/>
    <n v="51.62"/>
    <n v="0.1"/>
    <n v="92.92"/>
    <n v="55.74"/>
    <n v="37.18"/>
    <x v="10"/>
    <n v="0.40010000000000001"/>
  </r>
  <r>
    <s v="ORD0184"/>
    <d v="2025-04-23T00:00:00"/>
    <x v="1"/>
    <x v="4"/>
    <x v="0"/>
    <n v="5"/>
    <n v="260.68"/>
    <n v="0"/>
    <n v="1303.4000000000001"/>
    <n v="867.23"/>
    <n v="436.17"/>
    <x v="0"/>
    <n v="0.33460000000000001"/>
  </r>
  <r>
    <s v="ORD0185"/>
    <d v="2025-03-10T00:00:00"/>
    <x v="2"/>
    <x v="0"/>
    <x v="0"/>
    <n v="3"/>
    <n v="626.16999999999996"/>
    <n v="0"/>
    <n v="1878.51"/>
    <n v="1519.68"/>
    <n v="358.83"/>
    <x v="9"/>
    <n v="0.191"/>
  </r>
  <r>
    <s v="ORD0186"/>
    <d v="2025-12-03T00:00:00"/>
    <x v="0"/>
    <x v="6"/>
    <x v="0"/>
    <n v="2"/>
    <n v="570.27"/>
    <n v="0"/>
    <n v="1140.54"/>
    <n v="824.4"/>
    <n v="316.14"/>
    <x v="8"/>
    <n v="0.2772"/>
  </r>
  <r>
    <s v="ORD0187"/>
    <d v="2025-03-14T00:00:00"/>
    <x v="3"/>
    <x v="1"/>
    <x v="1"/>
    <n v="5"/>
    <n v="39.69"/>
    <n v="0.05"/>
    <n v="188.53"/>
    <n v="130.81"/>
    <n v="57.72"/>
    <x v="9"/>
    <n v="0.30620000000000003"/>
  </r>
  <r>
    <s v="ORD0188"/>
    <d v="2025-01-25T00:00:00"/>
    <x v="1"/>
    <x v="7"/>
    <x v="0"/>
    <n v="1"/>
    <n v="197.33"/>
    <n v="0.1"/>
    <n v="177.6"/>
    <n v="128.51"/>
    <n v="49.09"/>
    <x v="11"/>
    <n v="0.27639999999999998"/>
  </r>
  <r>
    <s v="ORD0189"/>
    <d v="2025-04-12T00:00:00"/>
    <x v="0"/>
    <x v="1"/>
    <x v="1"/>
    <n v="3"/>
    <n v="32.39"/>
    <n v="0"/>
    <n v="97.17"/>
    <n v="78.930000000000007"/>
    <n v="18.239999999999998"/>
    <x v="0"/>
    <n v="0.18770000000000001"/>
  </r>
  <r>
    <s v="ORD0190"/>
    <d v="2025-01-17T00:00:00"/>
    <x v="0"/>
    <x v="5"/>
    <x v="1"/>
    <n v="3"/>
    <n v="31.82"/>
    <n v="0.1"/>
    <n v="85.91"/>
    <n v="69.66"/>
    <n v="16.25"/>
    <x v="11"/>
    <n v="0.18920000000000001"/>
  </r>
  <r>
    <s v="ORD0191"/>
    <d v="2025-12-05T00:00:00"/>
    <x v="2"/>
    <x v="6"/>
    <x v="0"/>
    <n v="7"/>
    <n v="888.85"/>
    <n v="0"/>
    <n v="6221.95"/>
    <n v="5039.54"/>
    <n v="1182.4100000000001"/>
    <x v="8"/>
    <n v="0.19"/>
  </r>
  <r>
    <s v="ORD0192"/>
    <d v="2025-07-19T00:00:00"/>
    <x v="3"/>
    <x v="0"/>
    <x v="0"/>
    <n v="5"/>
    <n v="536.75"/>
    <n v="0.1"/>
    <n v="2415.38"/>
    <n v="1770.32"/>
    <n v="645.05999999999995"/>
    <x v="2"/>
    <n v="0.2671"/>
  </r>
  <r>
    <s v="ORD0193"/>
    <d v="2025-01-26T00:00:00"/>
    <x v="1"/>
    <x v="4"/>
    <x v="0"/>
    <n v="1"/>
    <n v="340.47"/>
    <n v="0.05"/>
    <n v="323.45"/>
    <n v="191.61"/>
    <n v="131.84"/>
    <x v="11"/>
    <n v="0.40760000000000002"/>
  </r>
  <r>
    <s v="ORD0194"/>
    <d v="2025-03-27T00:00:00"/>
    <x v="0"/>
    <x v="7"/>
    <x v="0"/>
    <n v="2"/>
    <n v="242.95"/>
    <n v="0.15"/>
    <n v="413.02"/>
    <n v="294.64999999999998"/>
    <n v="118.37"/>
    <x v="9"/>
    <n v="0.28660000000000002"/>
  </r>
  <r>
    <s v="ORD0195"/>
    <d v="2025-11-24T00:00:00"/>
    <x v="0"/>
    <x v="0"/>
    <x v="0"/>
    <n v="6"/>
    <n v="236.65"/>
    <n v="0.1"/>
    <n v="1277.9100000000001"/>
    <n v="800.26"/>
    <n v="477.65"/>
    <x v="5"/>
    <n v="0.37380000000000002"/>
  </r>
  <r>
    <s v="ORD0196"/>
    <d v="2025-04-13T00:00:00"/>
    <x v="3"/>
    <x v="1"/>
    <x v="1"/>
    <n v="7"/>
    <n v="100.56"/>
    <n v="0.1"/>
    <n v="633.53"/>
    <n v="375.79"/>
    <n v="257.74"/>
    <x v="0"/>
    <n v="0.40679999999999999"/>
  </r>
  <r>
    <s v="ORD0197"/>
    <d v="2025-05-11T00:00:00"/>
    <x v="3"/>
    <x v="2"/>
    <x v="1"/>
    <n v="7"/>
    <n v="77.41"/>
    <n v="0.05"/>
    <n v="514.78"/>
    <n v="358.01"/>
    <n v="156.77000000000001"/>
    <x v="4"/>
    <n v="0.30449999999999999"/>
  </r>
  <r>
    <s v="ORD0198"/>
    <d v="2025-01-04T00:00:00"/>
    <x v="3"/>
    <x v="1"/>
    <x v="1"/>
    <n v="2"/>
    <n v="93.85"/>
    <n v="0"/>
    <n v="187.7"/>
    <n v="123.07"/>
    <n v="64.63"/>
    <x v="11"/>
    <n v="0.34429999999999999"/>
  </r>
  <r>
    <s v="ORD0199"/>
    <d v="2025-04-18T00:00:00"/>
    <x v="0"/>
    <x v="2"/>
    <x v="1"/>
    <n v="1"/>
    <n v="125.92"/>
    <n v="0.05"/>
    <n v="119.62"/>
    <n v="81.63"/>
    <n v="37.99"/>
    <x v="0"/>
    <n v="0.31759999999999999"/>
  </r>
  <r>
    <s v="ORD0200"/>
    <d v="2025-09-26T00:00:00"/>
    <x v="3"/>
    <x v="4"/>
    <x v="0"/>
    <n v="7"/>
    <n v="283.2"/>
    <n v="0.15"/>
    <n v="1685.04"/>
    <n v="977.42"/>
    <n v="707.62"/>
    <x v="6"/>
    <n v="0.4199"/>
  </r>
  <r>
    <s v="ORD0201"/>
    <d v="2025-11-14T00:00:00"/>
    <x v="3"/>
    <x v="4"/>
    <x v="0"/>
    <n v="3"/>
    <n v="161.71"/>
    <n v="0"/>
    <n v="485.13"/>
    <n v="287.51"/>
    <n v="197.62"/>
    <x v="5"/>
    <n v="0.40739999999999998"/>
  </r>
  <r>
    <s v="ORD0202"/>
    <d v="2025-12-25T00:00:00"/>
    <x v="2"/>
    <x v="5"/>
    <x v="1"/>
    <n v="1"/>
    <n v="48.59"/>
    <n v="0"/>
    <n v="48.59"/>
    <n v="32.83"/>
    <n v="15.76"/>
    <x v="8"/>
    <n v="0.32429999999999998"/>
  </r>
  <r>
    <s v="ORD0203"/>
    <d v="2025-06-07T00:00:00"/>
    <x v="0"/>
    <x v="3"/>
    <x v="1"/>
    <n v="1"/>
    <n v="79.17"/>
    <n v="0"/>
    <n v="79.17"/>
    <n v="52.66"/>
    <n v="26.51"/>
    <x v="1"/>
    <n v="0.33479999999999999"/>
  </r>
  <r>
    <s v="ORD0204"/>
    <d v="2025-03-14T00:00:00"/>
    <x v="1"/>
    <x v="5"/>
    <x v="1"/>
    <n v="2"/>
    <n v="26.72"/>
    <n v="0"/>
    <n v="53.44"/>
    <n v="31.22"/>
    <n v="22.22"/>
    <x v="9"/>
    <n v="0.4158"/>
  </r>
  <r>
    <s v="ORD0205"/>
    <d v="2025-03-02T00:00:00"/>
    <x v="3"/>
    <x v="6"/>
    <x v="0"/>
    <n v="1"/>
    <n v="991.77"/>
    <n v="0"/>
    <n v="991.77"/>
    <n v="801.34"/>
    <n v="190.43"/>
    <x v="9"/>
    <n v="0.192"/>
  </r>
  <r>
    <s v="ORD0206"/>
    <d v="2025-01-11T00:00:00"/>
    <x v="0"/>
    <x v="1"/>
    <x v="1"/>
    <n v="4"/>
    <n v="64.67"/>
    <n v="0.1"/>
    <n v="232.81"/>
    <n v="187.82"/>
    <n v="44.99"/>
    <x v="11"/>
    <n v="0.19320000000000001"/>
  </r>
  <r>
    <s v="ORD0207"/>
    <d v="2025-05-28T00:00:00"/>
    <x v="3"/>
    <x v="3"/>
    <x v="1"/>
    <n v="2"/>
    <n v="65.900000000000006"/>
    <n v="0.15"/>
    <n v="112.03"/>
    <n v="71.209999999999994"/>
    <n v="40.82"/>
    <x v="4"/>
    <n v="0.3644"/>
  </r>
  <r>
    <s v="ORD0208"/>
    <d v="2025-08-14T00:00:00"/>
    <x v="3"/>
    <x v="0"/>
    <x v="0"/>
    <n v="6"/>
    <n v="465.64"/>
    <n v="0.05"/>
    <n v="2654.15"/>
    <n v="1686.34"/>
    <n v="967.81"/>
    <x v="7"/>
    <n v="0.36459999999999998"/>
  </r>
  <r>
    <s v="ORD0209"/>
    <d v="2025-09-18T00:00:00"/>
    <x v="0"/>
    <x v="4"/>
    <x v="0"/>
    <n v="1"/>
    <n v="197.8"/>
    <n v="0.1"/>
    <n v="178.02"/>
    <n v="118.21"/>
    <n v="59.81"/>
    <x v="6"/>
    <n v="0.33600000000000002"/>
  </r>
  <r>
    <s v="ORD0210"/>
    <d v="2025-03-02T00:00:00"/>
    <x v="1"/>
    <x v="0"/>
    <x v="0"/>
    <n v="7"/>
    <n v="595.38"/>
    <n v="0.15"/>
    <n v="3542.51"/>
    <n v="2900.53"/>
    <n v="641.98"/>
    <x v="9"/>
    <n v="0.1812"/>
  </r>
  <r>
    <s v="ORD0211"/>
    <d v="2025-06-09T00:00:00"/>
    <x v="1"/>
    <x v="4"/>
    <x v="0"/>
    <n v="3"/>
    <n v="375.05"/>
    <n v="0.05"/>
    <n v="1068.8900000000001"/>
    <n v="659.44"/>
    <n v="409.45"/>
    <x v="1"/>
    <n v="0.3831"/>
  </r>
  <r>
    <s v="ORD0212"/>
    <d v="2025-12-23T00:00:00"/>
    <x v="0"/>
    <x v="2"/>
    <x v="1"/>
    <n v="5"/>
    <n v="59.1"/>
    <n v="0.05"/>
    <n v="280.72000000000003"/>
    <n v="202.77"/>
    <n v="77.95"/>
    <x v="8"/>
    <n v="0.2777"/>
  </r>
  <r>
    <s v="ORD0213"/>
    <d v="2025-07-14T00:00:00"/>
    <x v="3"/>
    <x v="1"/>
    <x v="1"/>
    <n v="1"/>
    <n v="62.16"/>
    <n v="0"/>
    <n v="62.16"/>
    <n v="43.16"/>
    <n v="19"/>
    <x v="2"/>
    <n v="0.30570000000000003"/>
  </r>
  <r>
    <s v="ORD0214"/>
    <d v="2025-08-14T00:00:00"/>
    <x v="2"/>
    <x v="4"/>
    <x v="0"/>
    <n v="4"/>
    <n v="150.97999999999999"/>
    <n v="0"/>
    <n v="603.91999999999996"/>
    <n v="485.3"/>
    <n v="118.62"/>
    <x v="7"/>
    <n v="0.19639999999999999"/>
  </r>
  <r>
    <s v="ORD0215"/>
    <d v="2025-02-06T00:00:00"/>
    <x v="2"/>
    <x v="5"/>
    <x v="1"/>
    <n v="7"/>
    <n v="12.32"/>
    <n v="0.05"/>
    <n v="81.93"/>
    <n v="48.48"/>
    <n v="33.450000000000003"/>
    <x v="3"/>
    <n v="0.4083"/>
  </r>
  <r>
    <s v="ORD0216"/>
    <d v="2025-10-28T00:00:00"/>
    <x v="2"/>
    <x v="7"/>
    <x v="0"/>
    <n v="5"/>
    <n v="322.56"/>
    <n v="0.15"/>
    <n v="1370.88"/>
    <n v="815.35"/>
    <n v="555.53"/>
    <x v="10"/>
    <n v="0.4052"/>
  </r>
  <r>
    <s v="ORD0217"/>
    <d v="2025-02-09T00:00:00"/>
    <x v="1"/>
    <x v="2"/>
    <x v="1"/>
    <n v="5"/>
    <n v="147.85"/>
    <n v="0.05"/>
    <n v="702.29"/>
    <n v="518.92999999999995"/>
    <n v="183.36"/>
    <x v="3"/>
    <n v="0.2611"/>
  </r>
  <r>
    <s v="ORD0218"/>
    <d v="2025-04-02T00:00:00"/>
    <x v="3"/>
    <x v="3"/>
    <x v="1"/>
    <n v="5"/>
    <n v="170.77"/>
    <n v="0.05"/>
    <n v="811.16"/>
    <n v="639.48"/>
    <n v="171.68"/>
    <x v="0"/>
    <n v="0.21160000000000001"/>
  </r>
  <r>
    <s v="ORD0219"/>
    <d v="2025-06-30T00:00:00"/>
    <x v="0"/>
    <x v="1"/>
    <x v="1"/>
    <n v="3"/>
    <n v="40.24"/>
    <n v="0"/>
    <n v="120.72"/>
    <n v="76.930000000000007"/>
    <n v="43.79"/>
    <x v="1"/>
    <n v="0.36270000000000002"/>
  </r>
  <r>
    <s v="ORD0220"/>
    <d v="2025-02-14T00:00:00"/>
    <x v="0"/>
    <x v="5"/>
    <x v="1"/>
    <n v="7"/>
    <n v="56.04"/>
    <n v="0"/>
    <n v="392.28"/>
    <n v="310.52999999999997"/>
    <n v="81.75"/>
    <x v="3"/>
    <n v="0.2084"/>
  </r>
  <r>
    <s v="ORD0221"/>
    <d v="2025-06-07T00:00:00"/>
    <x v="1"/>
    <x v="6"/>
    <x v="0"/>
    <n v="3"/>
    <n v="1121.4000000000001"/>
    <n v="0"/>
    <n v="3364.2"/>
    <n v="2613.27"/>
    <n v="750.93"/>
    <x v="1"/>
    <n v="0.22320000000000001"/>
  </r>
  <r>
    <s v="ORD0222"/>
    <d v="2025-10-22T00:00:00"/>
    <x v="0"/>
    <x v="0"/>
    <x v="0"/>
    <n v="2"/>
    <n v="564.44000000000005"/>
    <n v="0.1"/>
    <n v="1015.99"/>
    <n v="713.01"/>
    <n v="302.98"/>
    <x v="10"/>
    <n v="0.29820000000000002"/>
  </r>
  <r>
    <s v="ORD0223"/>
    <d v="2025-08-11T00:00:00"/>
    <x v="0"/>
    <x v="7"/>
    <x v="0"/>
    <n v="5"/>
    <n v="250.4"/>
    <n v="0.15"/>
    <n v="1064.2"/>
    <n v="778.61"/>
    <n v="285.58999999999997"/>
    <x v="7"/>
    <n v="0.26840000000000003"/>
  </r>
  <r>
    <s v="ORD0224"/>
    <d v="2025-03-15T00:00:00"/>
    <x v="3"/>
    <x v="5"/>
    <x v="1"/>
    <n v="5"/>
    <n v="61.13"/>
    <n v="0"/>
    <n v="305.64999999999998"/>
    <n v="233.1"/>
    <n v="72.55"/>
    <x v="9"/>
    <n v="0.2374"/>
  </r>
  <r>
    <s v="ORD0225"/>
    <d v="2025-10-05T00:00:00"/>
    <x v="2"/>
    <x v="7"/>
    <x v="0"/>
    <n v="2"/>
    <n v="178.89"/>
    <n v="0.05"/>
    <n v="339.89"/>
    <n v="273.17"/>
    <n v="66.72"/>
    <x v="10"/>
    <n v="0.1963"/>
  </r>
  <r>
    <s v="ORD0226"/>
    <d v="2025-07-12T00:00:00"/>
    <x v="0"/>
    <x v="5"/>
    <x v="1"/>
    <n v="4"/>
    <n v="16.27"/>
    <n v="0"/>
    <n v="65.08"/>
    <n v="48.81"/>
    <n v="16.27"/>
    <x v="2"/>
    <n v="0.25"/>
  </r>
  <r>
    <s v="ORD0227"/>
    <d v="2025-07-23T00:00:00"/>
    <x v="2"/>
    <x v="4"/>
    <x v="0"/>
    <n v="3"/>
    <n v="404.25"/>
    <n v="0.15"/>
    <n v="1030.8399999999999"/>
    <n v="765.14"/>
    <n v="265.7"/>
    <x v="2"/>
    <n v="0.25779999999999997"/>
  </r>
  <r>
    <s v="ORD0228"/>
    <d v="2025-02-02T00:00:00"/>
    <x v="0"/>
    <x v="1"/>
    <x v="1"/>
    <n v="3"/>
    <n v="81.47"/>
    <n v="0"/>
    <n v="244.41"/>
    <n v="145.61000000000001"/>
    <n v="98.8"/>
    <x v="3"/>
    <n v="0.4042"/>
  </r>
  <r>
    <s v="ORD0229"/>
    <d v="2025-08-14T00:00:00"/>
    <x v="3"/>
    <x v="0"/>
    <x v="0"/>
    <n v="7"/>
    <n v="564.83000000000004"/>
    <n v="0"/>
    <n v="3953.81"/>
    <n v="2294.19"/>
    <n v="1659.62"/>
    <x v="7"/>
    <n v="0.41980000000000001"/>
  </r>
  <r>
    <s v="ORD0230"/>
    <d v="2025-10-12T00:00:00"/>
    <x v="3"/>
    <x v="5"/>
    <x v="1"/>
    <n v="1"/>
    <n v="18.440000000000001"/>
    <n v="0.1"/>
    <n v="16.600000000000001"/>
    <n v="11.73"/>
    <n v="4.87"/>
    <x v="10"/>
    <n v="0.29339999999999999"/>
  </r>
  <r>
    <s v="ORD0231"/>
    <d v="2025-01-27T00:00:00"/>
    <x v="1"/>
    <x v="1"/>
    <x v="1"/>
    <n v="4"/>
    <n v="104.79"/>
    <n v="0.1"/>
    <n v="377.24"/>
    <n v="239.63"/>
    <n v="137.61000000000001"/>
    <x v="11"/>
    <n v="0.36480000000000001"/>
  </r>
  <r>
    <s v="ORD0232"/>
    <d v="2025-12-23T00:00:00"/>
    <x v="1"/>
    <x v="6"/>
    <x v="0"/>
    <n v="6"/>
    <n v="648.19000000000005"/>
    <n v="0"/>
    <n v="3889.14"/>
    <n v="3136.47"/>
    <n v="752.67"/>
    <x v="8"/>
    <n v="0.19350000000000001"/>
  </r>
  <r>
    <s v="ORD0233"/>
    <d v="2025-02-27T00:00:00"/>
    <x v="2"/>
    <x v="5"/>
    <x v="1"/>
    <n v="6"/>
    <n v="59.89"/>
    <n v="0"/>
    <n v="359.34"/>
    <n v="235.32"/>
    <n v="124.02"/>
    <x v="3"/>
    <n v="0.34510000000000002"/>
  </r>
  <r>
    <s v="ORD0234"/>
    <d v="2025-10-07T00:00:00"/>
    <x v="2"/>
    <x v="2"/>
    <x v="1"/>
    <n v="7"/>
    <n v="126.96"/>
    <n v="0"/>
    <n v="888.72"/>
    <n v="700.62"/>
    <n v="188.1"/>
    <x v="10"/>
    <n v="0.2117"/>
  </r>
  <r>
    <s v="ORD0235"/>
    <d v="2025-05-25T00:00:00"/>
    <x v="3"/>
    <x v="4"/>
    <x v="0"/>
    <n v="7"/>
    <n v="286.18"/>
    <n v="0.05"/>
    <n v="1903.1"/>
    <n v="1176.53"/>
    <n v="726.57"/>
    <x v="4"/>
    <n v="0.38179999999999997"/>
  </r>
  <r>
    <s v="ORD0236"/>
    <d v="2025-12-15T00:00:00"/>
    <x v="2"/>
    <x v="3"/>
    <x v="1"/>
    <n v="7"/>
    <n v="118.93"/>
    <n v="0.05"/>
    <n v="790.88"/>
    <n v="462.1"/>
    <n v="328.78"/>
    <x v="8"/>
    <n v="0.41570000000000001"/>
  </r>
  <r>
    <s v="ORD0237"/>
    <d v="2025-01-15T00:00:00"/>
    <x v="3"/>
    <x v="5"/>
    <x v="1"/>
    <n v="5"/>
    <n v="69.45"/>
    <n v="0.15"/>
    <n v="295.16000000000003"/>
    <n v="184.33"/>
    <n v="110.83"/>
    <x v="11"/>
    <n v="0.3755"/>
  </r>
  <r>
    <s v="ORD0238"/>
    <d v="2025-01-09T00:00:00"/>
    <x v="0"/>
    <x v="2"/>
    <x v="1"/>
    <n v="6"/>
    <n v="107.78"/>
    <n v="0.05"/>
    <n v="614.35"/>
    <n v="392.82"/>
    <n v="221.53"/>
    <x v="11"/>
    <n v="0.36059999999999998"/>
  </r>
  <r>
    <s v="ORD0239"/>
    <d v="2025-12-10T00:00:00"/>
    <x v="2"/>
    <x v="7"/>
    <x v="0"/>
    <n v="1"/>
    <n v="131.81"/>
    <n v="0.05"/>
    <n v="125.22"/>
    <n v="82.42"/>
    <n v="42.8"/>
    <x v="8"/>
    <n v="0.34179999999999999"/>
  </r>
  <r>
    <s v="ORD0240"/>
    <d v="2025-12-04T00:00:00"/>
    <x v="0"/>
    <x v="1"/>
    <x v="1"/>
    <n v="5"/>
    <n v="39.21"/>
    <n v="0.05"/>
    <n v="186.25"/>
    <n v="138.44"/>
    <n v="47.81"/>
    <x v="8"/>
    <n v="0.25669999999999998"/>
  </r>
  <r>
    <s v="ORD0241"/>
    <d v="2025-04-12T00:00:00"/>
    <x v="3"/>
    <x v="0"/>
    <x v="0"/>
    <n v="7"/>
    <n v="519.29"/>
    <n v="0.05"/>
    <n v="3453.28"/>
    <n v="2630.34"/>
    <n v="822.94"/>
    <x v="0"/>
    <n v="0.23830000000000001"/>
  </r>
  <r>
    <s v="ORD0242"/>
    <d v="2025-02-15T00:00:00"/>
    <x v="2"/>
    <x v="7"/>
    <x v="0"/>
    <n v="3"/>
    <n v="214.93"/>
    <n v="0"/>
    <n v="644.79"/>
    <n v="411.43"/>
    <n v="233.36"/>
    <x v="3"/>
    <n v="0.3619"/>
  </r>
  <r>
    <s v="ORD0243"/>
    <d v="2025-08-30T00:00:00"/>
    <x v="2"/>
    <x v="0"/>
    <x v="0"/>
    <n v="6"/>
    <n v="470.53"/>
    <n v="0.1"/>
    <n v="2540.86"/>
    <n v="1814.98"/>
    <n v="725.88"/>
    <x v="7"/>
    <n v="0.28570000000000001"/>
  </r>
  <r>
    <s v="ORD0244"/>
    <d v="2025-03-18T00:00:00"/>
    <x v="2"/>
    <x v="6"/>
    <x v="0"/>
    <n v="2"/>
    <n v="897.26"/>
    <n v="0.1"/>
    <n v="1615.07"/>
    <n v="968.72"/>
    <n v="646.35"/>
    <x v="9"/>
    <n v="0.4002"/>
  </r>
  <r>
    <s v="ORD0245"/>
    <d v="2025-05-02T00:00:00"/>
    <x v="0"/>
    <x v="4"/>
    <x v="0"/>
    <n v="6"/>
    <n v="239.85"/>
    <n v="0.15"/>
    <n v="1223.23"/>
    <n v="768.44"/>
    <n v="454.79"/>
    <x v="4"/>
    <n v="0.37180000000000002"/>
  </r>
  <r>
    <s v="ORD0246"/>
    <d v="2025-11-13T00:00:00"/>
    <x v="1"/>
    <x v="0"/>
    <x v="0"/>
    <n v="2"/>
    <n v="199.36"/>
    <n v="0.05"/>
    <n v="378.78"/>
    <n v="306.2"/>
    <n v="72.58"/>
    <x v="5"/>
    <n v="0.19159999999999999"/>
  </r>
  <r>
    <s v="ORD0247"/>
    <d v="2025-02-10T00:00:00"/>
    <x v="0"/>
    <x v="1"/>
    <x v="1"/>
    <n v="6"/>
    <n v="81.5"/>
    <n v="0.05"/>
    <n v="464.55"/>
    <n v="337.78"/>
    <n v="126.77"/>
    <x v="3"/>
    <n v="0.27289999999999998"/>
  </r>
  <r>
    <s v="ORD0248"/>
    <d v="2025-01-07T00:00:00"/>
    <x v="1"/>
    <x v="5"/>
    <x v="1"/>
    <n v="2"/>
    <n v="51.39"/>
    <n v="0.1"/>
    <n v="92.5"/>
    <n v="67.239999999999995"/>
    <n v="25.26"/>
    <x v="11"/>
    <n v="0.27310000000000001"/>
  </r>
  <r>
    <s v="ORD0249"/>
    <d v="2025-05-07T00:00:00"/>
    <x v="3"/>
    <x v="5"/>
    <x v="1"/>
    <n v="4"/>
    <n v="49.64"/>
    <n v="0.1"/>
    <n v="178.7"/>
    <n v="124.27"/>
    <n v="54.43"/>
    <x v="4"/>
    <n v="0.30459999999999998"/>
  </r>
  <r>
    <s v="ORD0250"/>
    <d v="2025-01-12T00:00:00"/>
    <x v="3"/>
    <x v="5"/>
    <x v="1"/>
    <n v="2"/>
    <n v="39.630000000000003"/>
    <n v="0.1"/>
    <n v="71.33"/>
    <n v="51.53"/>
    <n v="19.8"/>
    <x v="11"/>
    <n v="0.27760000000000001"/>
  </r>
  <r>
    <s v="ORD0251"/>
    <d v="2025-06-22T00:00:00"/>
    <x v="2"/>
    <x v="6"/>
    <x v="0"/>
    <n v="5"/>
    <n v="950.23"/>
    <n v="0"/>
    <n v="4751.1499999999996"/>
    <n v="3291.8"/>
    <n v="1459.35"/>
    <x v="1"/>
    <n v="0.30719999999999997"/>
  </r>
  <r>
    <s v="ORD0252"/>
    <d v="2025-07-30T00:00:00"/>
    <x v="0"/>
    <x v="3"/>
    <x v="1"/>
    <n v="7"/>
    <n v="115.23"/>
    <n v="0"/>
    <n v="806.61"/>
    <n v="499.13"/>
    <n v="307.48"/>
    <x v="2"/>
    <n v="0.38119999999999998"/>
  </r>
  <r>
    <s v="ORD0253"/>
    <d v="2025-04-03T00:00:00"/>
    <x v="0"/>
    <x v="3"/>
    <x v="1"/>
    <n v="1"/>
    <n v="126.26"/>
    <n v="0"/>
    <n v="126.26"/>
    <n v="85.45"/>
    <n v="40.81"/>
    <x v="0"/>
    <n v="0.32319999999999999"/>
  </r>
  <r>
    <s v="ORD0254"/>
    <d v="2025-06-08T00:00:00"/>
    <x v="0"/>
    <x v="0"/>
    <x v="0"/>
    <n v="7"/>
    <n v="301.11"/>
    <n v="0.05"/>
    <n v="2002.38"/>
    <n v="1578.65"/>
    <n v="423.73"/>
    <x v="1"/>
    <n v="0.21160000000000001"/>
  </r>
  <r>
    <s v="ORD0255"/>
    <d v="2025-06-01T00:00:00"/>
    <x v="0"/>
    <x v="3"/>
    <x v="1"/>
    <n v="4"/>
    <n v="151.32"/>
    <n v="0.1"/>
    <n v="544.75"/>
    <n v="416.33"/>
    <n v="128.41999999999999"/>
    <x v="1"/>
    <n v="0.23569999999999999"/>
  </r>
  <r>
    <s v="ORD0256"/>
    <d v="2025-08-16T00:00:00"/>
    <x v="0"/>
    <x v="6"/>
    <x v="0"/>
    <n v="3"/>
    <n v="926.14"/>
    <n v="0"/>
    <n v="2778.42"/>
    <n v="2095.1"/>
    <n v="683.32"/>
    <x v="7"/>
    <n v="0.24590000000000001"/>
  </r>
  <r>
    <s v="ORD0257"/>
    <d v="2025-07-05T00:00:00"/>
    <x v="0"/>
    <x v="0"/>
    <x v="0"/>
    <n v="2"/>
    <n v="552.69000000000005"/>
    <n v="0.05"/>
    <n v="1050.1099999999999"/>
    <n v="859.11"/>
    <n v="191"/>
    <x v="2"/>
    <n v="0.18190000000000001"/>
  </r>
  <r>
    <s v="ORD0258"/>
    <d v="2025-08-13T00:00:00"/>
    <x v="1"/>
    <x v="3"/>
    <x v="1"/>
    <n v="4"/>
    <n v="106.01"/>
    <n v="0.05"/>
    <n v="402.84"/>
    <n v="314.47000000000003"/>
    <n v="88.37"/>
    <x v="7"/>
    <n v="0.21940000000000001"/>
  </r>
  <r>
    <s v="ORD0259"/>
    <d v="2025-11-30T00:00:00"/>
    <x v="0"/>
    <x v="4"/>
    <x v="0"/>
    <n v="4"/>
    <n v="421.8"/>
    <n v="0"/>
    <n v="1687.2"/>
    <n v="1074.76"/>
    <n v="612.44000000000005"/>
    <x v="5"/>
    <n v="0.36299999999999999"/>
  </r>
  <r>
    <s v="ORD0260"/>
    <d v="2025-11-12T00:00:00"/>
    <x v="3"/>
    <x v="0"/>
    <x v="0"/>
    <n v="5"/>
    <n v="581.55999999999995"/>
    <n v="0.05"/>
    <n v="2762.41"/>
    <n v="1766.11"/>
    <n v="996.3"/>
    <x v="5"/>
    <n v="0.36070000000000002"/>
  </r>
  <r>
    <s v="ORD0261"/>
    <d v="2025-11-22T00:00:00"/>
    <x v="3"/>
    <x v="0"/>
    <x v="0"/>
    <n v="6"/>
    <n v="421.96"/>
    <n v="0"/>
    <n v="2531.7600000000002"/>
    <n v="1828.71"/>
    <n v="703.05"/>
    <x v="5"/>
    <n v="0.2777"/>
  </r>
  <r>
    <s v="ORD0262"/>
    <d v="2025-06-13T00:00:00"/>
    <x v="3"/>
    <x v="1"/>
    <x v="1"/>
    <n v="1"/>
    <n v="117.09"/>
    <n v="0"/>
    <n v="117.09"/>
    <n v="86.37"/>
    <n v="30.72"/>
    <x v="1"/>
    <n v="0.26240000000000002"/>
  </r>
  <r>
    <s v="ORD0263"/>
    <d v="2025-03-21T00:00:00"/>
    <x v="0"/>
    <x v="0"/>
    <x v="0"/>
    <n v="7"/>
    <n v="290.3"/>
    <n v="0.1"/>
    <n v="1828.89"/>
    <n v="1254.78"/>
    <n v="574.11"/>
    <x v="9"/>
    <n v="0.31390000000000001"/>
  </r>
  <r>
    <s v="ORD0264"/>
    <d v="2025-09-21T00:00:00"/>
    <x v="1"/>
    <x v="3"/>
    <x v="1"/>
    <n v="2"/>
    <n v="158.84"/>
    <n v="0"/>
    <n v="317.68"/>
    <n v="218.52"/>
    <n v="99.16"/>
    <x v="6"/>
    <n v="0.31209999999999999"/>
  </r>
  <r>
    <s v="ORD0265"/>
    <d v="2025-04-17T00:00:00"/>
    <x v="3"/>
    <x v="5"/>
    <x v="1"/>
    <n v="1"/>
    <n v="27.91"/>
    <n v="0"/>
    <n v="27.91"/>
    <n v="18.73"/>
    <n v="9.18"/>
    <x v="0"/>
    <n v="0.32890000000000003"/>
  </r>
  <r>
    <s v="ORD0266"/>
    <d v="2025-11-08T00:00:00"/>
    <x v="2"/>
    <x v="0"/>
    <x v="0"/>
    <n v="5"/>
    <n v="430.75"/>
    <n v="0.1"/>
    <n v="1938.38"/>
    <n v="1452.41"/>
    <n v="485.97"/>
    <x v="5"/>
    <n v="0.25069999999999998"/>
  </r>
  <r>
    <s v="ORD0267"/>
    <d v="2025-11-30T00:00:00"/>
    <x v="0"/>
    <x v="0"/>
    <x v="0"/>
    <n v="7"/>
    <n v="442.33"/>
    <n v="0.05"/>
    <n v="2941.49"/>
    <n v="1730.2"/>
    <n v="1211.29"/>
    <x v="5"/>
    <n v="0.4118"/>
  </r>
  <r>
    <s v="ORD0268"/>
    <d v="2025-02-04T00:00:00"/>
    <x v="0"/>
    <x v="6"/>
    <x v="0"/>
    <n v="7"/>
    <n v="700.24"/>
    <n v="0"/>
    <n v="4901.68"/>
    <n v="3595.88"/>
    <n v="1305.8"/>
    <x v="3"/>
    <n v="0.26640000000000003"/>
  </r>
  <r>
    <s v="ORD0269"/>
    <d v="2025-01-12T00:00:00"/>
    <x v="0"/>
    <x v="3"/>
    <x v="1"/>
    <n v="5"/>
    <n v="51.38"/>
    <n v="0"/>
    <n v="256.89999999999998"/>
    <n v="185.05"/>
    <n v="71.849999999999994"/>
    <x v="11"/>
    <n v="0.2797"/>
  </r>
  <r>
    <s v="ORD0270"/>
    <d v="2025-08-05T00:00:00"/>
    <x v="0"/>
    <x v="5"/>
    <x v="1"/>
    <n v="5"/>
    <n v="42.23"/>
    <n v="0.05"/>
    <n v="200.59"/>
    <n v="117.18"/>
    <n v="83.41"/>
    <x v="7"/>
    <n v="0.4158"/>
  </r>
  <r>
    <s v="ORD0271"/>
    <d v="2025-10-21T00:00:00"/>
    <x v="2"/>
    <x v="3"/>
    <x v="1"/>
    <n v="1"/>
    <n v="142.32"/>
    <n v="0"/>
    <n v="142.32"/>
    <n v="100.37"/>
    <n v="41.95"/>
    <x v="10"/>
    <n v="0.29480000000000001"/>
  </r>
  <r>
    <s v="ORD0272"/>
    <d v="2025-01-08T00:00:00"/>
    <x v="0"/>
    <x v="0"/>
    <x v="0"/>
    <n v="6"/>
    <n v="324.73"/>
    <n v="0.1"/>
    <n v="1753.54"/>
    <n v="1102"/>
    <n v="651.54"/>
    <x v="11"/>
    <n v="0.37159999999999999"/>
  </r>
  <r>
    <s v="ORD0273"/>
    <d v="2025-03-27T00:00:00"/>
    <x v="1"/>
    <x v="3"/>
    <x v="1"/>
    <n v="1"/>
    <n v="170.2"/>
    <n v="0"/>
    <n v="170.2"/>
    <n v="108.3"/>
    <n v="61.9"/>
    <x v="9"/>
    <n v="0.36370000000000002"/>
  </r>
  <r>
    <s v="ORD0274"/>
    <d v="2025-04-24T00:00:00"/>
    <x v="0"/>
    <x v="4"/>
    <x v="0"/>
    <n v="1"/>
    <n v="399.82"/>
    <n v="0.15"/>
    <n v="339.85"/>
    <n v="252.84"/>
    <n v="87.01"/>
    <x v="0"/>
    <n v="0.25600000000000001"/>
  </r>
  <r>
    <s v="ORD0275"/>
    <d v="2025-11-24T00:00:00"/>
    <x v="3"/>
    <x v="6"/>
    <x v="0"/>
    <n v="2"/>
    <n v="1114.79"/>
    <n v="0.05"/>
    <n v="2118.1"/>
    <n v="1243.95"/>
    <n v="874.15"/>
    <x v="5"/>
    <n v="0.41270000000000001"/>
  </r>
  <r>
    <s v="ORD0276"/>
    <d v="2025-02-22T00:00:00"/>
    <x v="2"/>
    <x v="2"/>
    <x v="1"/>
    <n v="4"/>
    <n v="117.95"/>
    <n v="0"/>
    <n v="471.8"/>
    <n v="348.25"/>
    <n v="123.55"/>
    <x v="3"/>
    <n v="0.26190000000000002"/>
  </r>
  <r>
    <s v="ORD0277"/>
    <d v="2025-03-04T00:00:00"/>
    <x v="3"/>
    <x v="3"/>
    <x v="1"/>
    <n v="1"/>
    <n v="54.72"/>
    <n v="0.05"/>
    <n v="51.98"/>
    <n v="42.62"/>
    <n v="9.36"/>
    <x v="9"/>
    <n v="0.18010000000000001"/>
  </r>
  <r>
    <s v="ORD0278"/>
    <d v="2025-06-08T00:00:00"/>
    <x v="3"/>
    <x v="6"/>
    <x v="0"/>
    <n v="1"/>
    <n v="1195.67"/>
    <n v="0.1"/>
    <n v="1076.0999999999999"/>
    <n v="647.51"/>
    <n v="428.59"/>
    <x v="1"/>
    <n v="0.39829999999999999"/>
  </r>
  <r>
    <s v="ORD0279"/>
    <d v="2025-01-19T00:00:00"/>
    <x v="0"/>
    <x v="1"/>
    <x v="1"/>
    <n v="4"/>
    <n v="86.8"/>
    <n v="0.1"/>
    <n v="312.48"/>
    <n v="250.66"/>
    <n v="61.82"/>
    <x v="11"/>
    <n v="0.1978"/>
  </r>
  <r>
    <s v="ORD0280"/>
    <d v="2025-05-09T00:00:00"/>
    <x v="2"/>
    <x v="4"/>
    <x v="0"/>
    <n v="2"/>
    <n v="412.15"/>
    <n v="0"/>
    <n v="824.3"/>
    <n v="649.99"/>
    <n v="174.31"/>
    <x v="4"/>
    <n v="0.21149999999999999"/>
  </r>
  <r>
    <s v="ORD0281"/>
    <d v="2025-07-18T00:00:00"/>
    <x v="1"/>
    <x v="2"/>
    <x v="1"/>
    <n v="6"/>
    <n v="114.38"/>
    <n v="0"/>
    <n v="686.28"/>
    <n v="501.84"/>
    <n v="184.44"/>
    <x v="2"/>
    <n v="0.26879999999999998"/>
  </r>
  <r>
    <s v="ORD0282"/>
    <d v="2025-10-18T00:00:00"/>
    <x v="2"/>
    <x v="3"/>
    <x v="1"/>
    <n v="3"/>
    <n v="106.88"/>
    <n v="0"/>
    <n v="320.64"/>
    <n v="204.25"/>
    <n v="116.39"/>
    <x v="10"/>
    <n v="0.36299999999999999"/>
  </r>
  <r>
    <s v="ORD0283"/>
    <d v="2025-09-22T00:00:00"/>
    <x v="1"/>
    <x v="2"/>
    <x v="1"/>
    <n v="2"/>
    <n v="106.32"/>
    <n v="0"/>
    <n v="212.64"/>
    <n v="156.12"/>
    <n v="56.52"/>
    <x v="6"/>
    <n v="0.26579999999999998"/>
  </r>
  <r>
    <s v="ORD0284"/>
    <d v="2025-08-09T00:00:00"/>
    <x v="0"/>
    <x v="3"/>
    <x v="1"/>
    <n v="2"/>
    <n v="211.02"/>
    <n v="0.1"/>
    <n v="379.84"/>
    <n v="303.64999999999998"/>
    <n v="76.19"/>
    <x v="7"/>
    <n v="0.2006"/>
  </r>
  <r>
    <s v="ORD0285"/>
    <d v="2025-08-16T00:00:00"/>
    <x v="1"/>
    <x v="6"/>
    <x v="0"/>
    <n v="4"/>
    <n v="646.84"/>
    <n v="0.05"/>
    <n v="2457.9899999999998"/>
    <n v="1570.8"/>
    <n v="887.19"/>
    <x v="7"/>
    <n v="0.3609"/>
  </r>
  <r>
    <s v="ORD0286"/>
    <d v="2025-01-21T00:00:00"/>
    <x v="1"/>
    <x v="1"/>
    <x v="1"/>
    <n v="7"/>
    <n v="102.23"/>
    <n v="0.1"/>
    <n v="644.04999999999995"/>
    <n v="521.25"/>
    <n v="122.8"/>
    <x v="11"/>
    <n v="0.19070000000000001"/>
  </r>
  <r>
    <s v="ORD0287"/>
    <d v="2025-10-19T00:00:00"/>
    <x v="1"/>
    <x v="1"/>
    <x v="1"/>
    <n v="7"/>
    <n v="110.19"/>
    <n v="0"/>
    <n v="771.33"/>
    <n v="624.1"/>
    <n v="147.22999999999999"/>
    <x v="10"/>
    <n v="0.19089999999999999"/>
  </r>
  <r>
    <s v="ORD0288"/>
    <d v="2025-11-30T00:00:00"/>
    <x v="3"/>
    <x v="1"/>
    <x v="1"/>
    <n v="7"/>
    <n v="43.73"/>
    <n v="0.05"/>
    <n v="290.8"/>
    <n v="182.24"/>
    <n v="108.56"/>
    <x v="5"/>
    <n v="0.37330000000000002"/>
  </r>
  <r>
    <s v="ORD0289"/>
    <d v="2025-10-18T00:00:00"/>
    <x v="2"/>
    <x v="5"/>
    <x v="1"/>
    <n v="5"/>
    <n v="29.95"/>
    <n v="0"/>
    <n v="149.75"/>
    <n v="115.72"/>
    <n v="34.03"/>
    <x v="10"/>
    <n v="0.22720000000000001"/>
  </r>
  <r>
    <s v="ORD0290"/>
    <d v="2025-05-12T00:00:00"/>
    <x v="0"/>
    <x v="7"/>
    <x v="0"/>
    <n v="2"/>
    <n v="248.69"/>
    <n v="0.1"/>
    <n v="447.64"/>
    <n v="288.92"/>
    <n v="158.72"/>
    <x v="4"/>
    <n v="0.35460000000000003"/>
  </r>
  <r>
    <s v="ORD0291"/>
    <d v="2025-06-08T00:00:00"/>
    <x v="1"/>
    <x v="6"/>
    <x v="0"/>
    <n v="6"/>
    <n v="667.75"/>
    <n v="0.05"/>
    <n v="3806.18"/>
    <n v="2373.33"/>
    <n v="1432.85"/>
    <x v="1"/>
    <n v="0.3765"/>
  </r>
  <r>
    <s v="ORD0292"/>
    <d v="2025-09-20T00:00:00"/>
    <x v="0"/>
    <x v="0"/>
    <x v="0"/>
    <n v="1"/>
    <n v="446.64"/>
    <n v="0"/>
    <n v="446.64"/>
    <n v="362.27"/>
    <n v="84.37"/>
    <x v="6"/>
    <n v="0.18890000000000001"/>
  </r>
  <r>
    <s v="ORD0293"/>
    <d v="2025-04-28T00:00:00"/>
    <x v="3"/>
    <x v="6"/>
    <x v="0"/>
    <n v="4"/>
    <n v="578.22"/>
    <n v="0.05"/>
    <n v="2197.2399999999998"/>
    <n v="1776.11"/>
    <n v="421.13"/>
    <x v="0"/>
    <n v="0.19170000000000001"/>
  </r>
  <r>
    <s v="ORD0294"/>
    <d v="2025-05-01T00:00:00"/>
    <x v="3"/>
    <x v="2"/>
    <x v="1"/>
    <n v="4"/>
    <n v="59.65"/>
    <n v="0"/>
    <n v="238.6"/>
    <n v="173.38"/>
    <n v="65.22"/>
    <x v="4"/>
    <n v="0.27329999999999999"/>
  </r>
  <r>
    <s v="ORD0295"/>
    <d v="2025-01-19T00:00:00"/>
    <x v="2"/>
    <x v="4"/>
    <x v="0"/>
    <n v="1"/>
    <n v="213.43"/>
    <n v="0.1"/>
    <n v="192.09"/>
    <n v="124.08"/>
    <n v="68.010000000000005"/>
    <x v="11"/>
    <n v="0.35410000000000003"/>
  </r>
  <r>
    <s v="ORD0296"/>
    <d v="2025-08-30T00:00:00"/>
    <x v="3"/>
    <x v="5"/>
    <x v="1"/>
    <n v="7"/>
    <n v="54.06"/>
    <n v="0"/>
    <n v="378.42"/>
    <n v="276.14"/>
    <n v="102.28"/>
    <x v="7"/>
    <n v="0.27029999999999998"/>
  </r>
  <r>
    <s v="ORD0297"/>
    <d v="2025-05-30T00:00:00"/>
    <x v="2"/>
    <x v="0"/>
    <x v="0"/>
    <n v="1"/>
    <n v="526.33000000000004"/>
    <n v="0.1"/>
    <n v="473.7"/>
    <n v="299.39"/>
    <n v="174.31"/>
    <x v="4"/>
    <n v="0.36799999999999999"/>
  </r>
  <r>
    <s v="ORD0298"/>
    <d v="2025-03-19T00:00:00"/>
    <x v="3"/>
    <x v="3"/>
    <x v="1"/>
    <n v="7"/>
    <n v="77.599999999999994"/>
    <n v="0"/>
    <n v="543.20000000000005"/>
    <n v="398.23"/>
    <n v="144.97"/>
    <x v="9"/>
    <n v="0.26690000000000003"/>
  </r>
  <r>
    <s v="ORD0299"/>
    <d v="2025-03-26T00:00:00"/>
    <x v="0"/>
    <x v="3"/>
    <x v="1"/>
    <n v="1"/>
    <n v="126.9"/>
    <n v="0.15"/>
    <n v="107.86"/>
    <n v="66.09"/>
    <n v="41.77"/>
    <x v="9"/>
    <n v="0.38729999999999998"/>
  </r>
  <r>
    <s v="ORD0300"/>
    <d v="2025-10-07T00:00:00"/>
    <x v="2"/>
    <x v="1"/>
    <x v="1"/>
    <n v="2"/>
    <n v="65.680000000000007"/>
    <n v="0.1"/>
    <n v="118.22"/>
    <n v="88.21"/>
    <n v="30.01"/>
    <x v="10"/>
    <n v="0.25380000000000003"/>
  </r>
  <r>
    <s v="ORD0301"/>
    <d v="2025-04-19T00:00:00"/>
    <x v="0"/>
    <x v="2"/>
    <x v="1"/>
    <n v="3"/>
    <n v="108.42"/>
    <n v="0"/>
    <n v="325.26"/>
    <n v="259.33999999999997"/>
    <n v="65.92"/>
    <x v="0"/>
    <n v="0.20269999999999999"/>
  </r>
  <r>
    <s v="ORD0302"/>
    <d v="2025-03-11T00:00:00"/>
    <x v="3"/>
    <x v="5"/>
    <x v="1"/>
    <n v="5"/>
    <n v="68.33"/>
    <n v="0"/>
    <n v="341.65"/>
    <n v="224.67"/>
    <n v="116.98"/>
    <x v="9"/>
    <n v="0.34239999999999998"/>
  </r>
  <r>
    <s v="ORD0303"/>
    <d v="2025-01-27T00:00:00"/>
    <x v="2"/>
    <x v="0"/>
    <x v="0"/>
    <n v="4"/>
    <n v="387.93"/>
    <n v="0.1"/>
    <n v="1396.55"/>
    <n v="1034.43"/>
    <n v="362.12"/>
    <x v="11"/>
    <n v="0.25929999999999997"/>
  </r>
  <r>
    <s v="ORD0304"/>
    <d v="2025-02-27T00:00:00"/>
    <x v="1"/>
    <x v="3"/>
    <x v="1"/>
    <n v="6"/>
    <n v="144.66999999999999"/>
    <n v="0.05"/>
    <n v="824.62"/>
    <n v="523.96"/>
    <n v="300.66000000000003"/>
    <x v="3"/>
    <n v="0.36459999999999998"/>
  </r>
  <r>
    <s v="ORD0305"/>
    <d v="2025-10-18T00:00:00"/>
    <x v="0"/>
    <x v="2"/>
    <x v="1"/>
    <n v="6"/>
    <n v="36.799999999999997"/>
    <n v="0"/>
    <n v="220.8"/>
    <n v="147.30000000000001"/>
    <n v="73.5"/>
    <x v="10"/>
    <n v="0.33289999999999997"/>
  </r>
  <r>
    <s v="ORD0306"/>
    <d v="2025-11-29T00:00:00"/>
    <x v="3"/>
    <x v="0"/>
    <x v="0"/>
    <n v="6"/>
    <n v="336.78"/>
    <n v="0.05"/>
    <n v="1919.65"/>
    <n v="1154.29"/>
    <n v="765.36"/>
    <x v="5"/>
    <n v="0.3987"/>
  </r>
  <r>
    <s v="ORD0307"/>
    <d v="2025-05-01T00:00:00"/>
    <x v="1"/>
    <x v="0"/>
    <x v="0"/>
    <n v="7"/>
    <n v="274.44"/>
    <n v="0.05"/>
    <n v="1825.03"/>
    <n v="1100.8599999999999"/>
    <n v="724.17"/>
    <x v="4"/>
    <n v="0.39679999999999999"/>
  </r>
  <r>
    <s v="ORD0308"/>
    <d v="2025-05-24T00:00:00"/>
    <x v="0"/>
    <x v="7"/>
    <x v="0"/>
    <n v="4"/>
    <n v="180.37"/>
    <n v="0.05"/>
    <n v="685.41"/>
    <n v="528.39"/>
    <n v="157.02000000000001"/>
    <x v="4"/>
    <n v="0.2291"/>
  </r>
  <r>
    <s v="ORD0309"/>
    <d v="2025-12-26T00:00:00"/>
    <x v="2"/>
    <x v="3"/>
    <x v="1"/>
    <n v="7"/>
    <n v="108.87"/>
    <n v="0"/>
    <n v="762.09"/>
    <n v="623.54"/>
    <n v="138.55000000000001"/>
    <x v="8"/>
    <n v="0.18179999999999999"/>
  </r>
  <r>
    <s v="ORD0310"/>
    <d v="2025-08-19T00:00:00"/>
    <x v="2"/>
    <x v="5"/>
    <x v="1"/>
    <n v="1"/>
    <n v="65.05"/>
    <n v="0.05"/>
    <n v="61.8"/>
    <n v="45.09"/>
    <n v="16.71"/>
    <x v="7"/>
    <n v="0.27039999999999997"/>
  </r>
  <r>
    <s v="ORD0311"/>
    <d v="2025-05-22T00:00:00"/>
    <x v="2"/>
    <x v="6"/>
    <x v="0"/>
    <n v="5"/>
    <n v="1086.94"/>
    <n v="0.1"/>
    <n v="4891.2299999999996"/>
    <n v="3668.91"/>
    <n v="1222.32"/>
    <x v="4"/>
    <n v="0.24990000000000001"/>
  </r>
  <r>
    <s v="ORD0312"/>
    <d v="2025-09-06T00:00:00"/>
    <x v="3"/>
    <x v="6"/>
    <x v="0"/>
    <n v="7"/>
    <n v="721.02"/>
    <n v="0"/>
    <n v="5047.1400000000003"/>
    <n v="3033.5"/>
    <n v="2013.64"/>
    <x v="6"/>
    <n v="0.39900000000000002"/>
  </r>
  <r>
    <s v="ORD0313"/>
    <d v="2025-11-07T00:00:00"/>
    <x v="0"/>
    <x v="6"/>
    <x v="0"/>
    <n v="3"/>
    <n v="1086.44"/>
    <n v="0"/>
    <n v="3259.32"/>
    <n v="2627.58"/>
    <n v="631.74"/>
    <x v="5"/>
    <n v="0.1938"/>
  </r>
  <r>
    <s v="ORD0314"/>
    <d v="2025-01-12T00:00:00"/>
    <x v="1"/>
    <x v="1"/>
    <x v="1"/>
    <n v="6"/>
    <n v="72.209999999999994"/>
    <n v="0.15"/>
    <n v="368.27"/>
    <n v="288.85000000000002"/>
    <n v="79.42"/>
    <x v="11"/>
    <n v="0.2157"/>
  </r>
  <r>
    <s v="ORD0315"/>
    <d v="2025-06-07T00:00:00"/>
    <x v="0"/>
    <x v="6"/>
    <x v="0"/>
    <n v="2"/>
    <n v="900.83"/>
    <n v="0.05"/>
    <n v="1711.58"/>
    <n v="1269.71"/>
    <n v="441.87"/>
    <x v="1"/>
    <n v="0.25819999999999999"/>
  </r>
  <r>
    <s v="ORD0316"/>
    <d v="2025-06-12T00:00:00"/>
    <x v="0"/>
    <x v="2"/>
    <x v="1"/>
    <n v="3"/>
    <n v="132.69999999999999"/>
    <n v="0"/>
    <n v="398.1"/>
    <n v="238.63"/>
    <n v="159.47"/>
    <x v="1"/>
    <n v="0.40060000000000001"/>
  </r>
  <r>
    <s v="ORD0317"/>
    <d v="2025-09-23T00:00:00"/>
    <x v="3"/>
    <x v="1"/>
    <x v="1"/>
    <n v="2"/>
    <n v="46.24"/>
    <n v="0.15"/>
    <n v="78.61"/>
    <n v="56.41"/>
    <n v="22.2"/>
    <x v="6"/>
    <n v="0.28239999999999998"/>
  </r>
  <r>
    <s v="ORD0318"/>
    <d v="2025-11-17T00:00:00"/>
    <x v="0"/>
    <x v="4"/>
    <x v="0"/>
    <n v="1"/>
    <n v="288.60000000000002"/>
    <n v="0"/>
    <n v="288.60000000000002"/>
    <n v="209.39"/>
    <n v="79.209999999999994"/>
    <x v="5"/>
    <n v="0.27450000000000002"/>
  </r>
  <r>
    <s v="ORD0319"/>
    <d v="2025-01-25T00:00:00"/>
    <x v="3"/>
    <x v="7"/>
    <x v="0"/>
    <n v="6"/>
    <n v="305.63"/>
    <n v="0"/>
    <n v="1833.78"/>
    <n v="1482.93"/>
    <n v="350.85"/>
    <x v="11"/>
    <n v="0.1913"/>
  </r>
  <r>
    <s v="ORD0320"/>
    <d v="2025-03-09T00:00:00"/>
    <x v="3"/>
    <x v="3"/>
    <x v="1"/>
    <n v="2"/>
    <n v="47.61"/>
    <n v="0"/>
    <n v="95.22"/>
    <n v="58.32"/>
    <n v="36.9"/>
    <x v="9"/>
    <n v="0.38750000000000001"/>
  </r>
  <r>
    <s v="ORD0321"/>
    <d v="2025-11-30T00:00:00"/>
    <x v="2"/>
    <x v="5"/>
    <x v="1"/>
    <n v="4"/>
    <n v="72.849999999999994"/>
    <n v="0"/>
    <n v="291.39999999999998"/>
    <n v="190.82"/>
    <n v="100.58"/>
    <x v="5"/>
    <n v="0.34520000000000001"/>
  </r>
  <r>
    <s v="ORD0322"/>
    <d v="2025-09-11T00:00:00"/>
    <x v="0"/>
    <x v="4"/>
    <x v="0"/>
    <n v="5"/>
    <n v="172.76"/>
    <n v="0.05"/>
    <n v="820.61"/>
    <n v="518.5"/>
    <n v="302.11"/>
    <x v="6"/>
    <n v="0.36820000000000003"/>
  </r>
  <r>
    <s v="ORD0323"/>
    <d v="2025-09-23T00:00:00"/>
    <x v="3"/>
    <x v="5"/>
    <x v="1"/>
    <n v="7"/>
    <n v="21.58"/>
    <n v="0"/>
    <n v="151.06"/>
    <n v="115.92"/>
    <n v="35.14"/>
    <x v="6"/>
    <n v="0.2326"/>
  </r>
  <r>
    <s v="ORD0324"/>
    <d v="2025-03-24T00:00:00"/>
    <x v="3"/>
    <x v="4"/>
    <x v="0"/>
    <n v="6"/>
    <n v="448.41"/>
    <n v="0"/>
    <n v="2690.46"/>
    <n v="2009.26"/>
    <n v="681.2"/>
    <x v="9"/>
    <n v="0.25319999999999998"/>
  </r>
  <r>
    <s v="ORD0325"/>
    <d v="2025-03-21T00:00:00"/>
    <x v="2"/>
    <x v="1"/>
    <x v="1"/>
    <n v="5"/>
    <n v="36.53"/>
    <n v="0"/>
    <n v="182.65"/>
    <n v="110.37"/>
    <n v="72.28"/>
    <x v="9"/>
    <n v="0.3957"/>
  </r>
  <r>
    <s v="ORD0326"/>
    <d v="2025-12-25T00:00:00"/>
    <x v="2"/>
    <x v="5"/>
    <x v="1"/>
    <n v="1"/>
    <n v="44.09"/>
    <n v="0.15"/>
    <n v="37.479999999999997"/>
    <n v="29.06"/>
    <n v="8.42"/>
    <x v="8"/>
    <n v="0.22470000000000001"/>
  </r>
  <r>
    <s v="ORD0327"/>
    <d v="2025-03-04T00:00:00"/>
    <x v="3"/>
    <x v="5"/>
    <x v="1"/>
    <n v="5"/>
    <n v="51.31"/>
    <n v="0.05"/>
    <n v="243.72"/>
    <n v="166.28"/>
    <n v="77.44"/>
    <x v="9"/>
    <n v="0.31769999999999998"/>
  </r>
  <r>
    <s v="ORD0328"/>
    <d v="2025-04-02T00:00:00"/>
    <x v="0"/>
    <x v="5"/>
    <x v="1"/>
    <n v="7"/>
    <n v="40.340000000000003"/>
    <n v="0"/>
    <n v="282.38"/>
    <n v="188.7"/>
    <n v="93.68"/>
    <x v="0"/>
    <n v="0.33179999999999998"/>
  </r>
  <r>
    <s v="ORD0329"/>
    <d v="2025-03-03T00:00:00"/>
    <x v="1"/>
    <x v="2"/>
    <x v="1"/>
    <n v="7"/>
    <n v="125.37"/>
    <n v="0.1"/>
    <n v="789.83"/>
    <n v="460.19"/>
    <n v="329.64"/>
    <x v="9"/>
    <n v="0.41739999999999999"/>
  </r>
  <r>
    <s v="ORD0330"/>
    <d v="2025-03-06T00:00:00"/>
    <x v="3"/>
    <x v="3"/>
    <x v="1"/>
    <n v="6"/>
    <n v="181.21"/>
    <n v="0.05"/>
    <n v="1032.9000000000001"/>
    <n v="767.89"/>
    <n v="265.01"/>
    <x v="9"/>
    <n v="0.25659999999999999"/>
  </r>
  <r>
    <s v="ORD0331"/>
    <d v="2025-06-22T00:00:00"/>
    <x v="2"/>
    <x v="3"/>
    <x v="1"/>
    <n v="2"/>
    <n v="79.62"/>
    <n v="0.15"/>
    <n v="135.35"/>
    <n v="104.54"/>
    <n v="30.81"/>
    <x v="1"/>
    <n v="0.2276"/>
  </r>
  <r>
    <s v="ORD0332"/>
    <d v="2025-11-04T00:00:00"/>
    <x v="2"/>
    <x v="5"/>
    <x v="1"/>
    <n v="1"/>
    <n v="18.91"/>
    <n v="0.05"/>
    <n v="17.96"/>
    <n v="12.38"/>
    <n v="5.58"/>
    <x v="5"/>
    <n v="0.31069999999999998"/>
  </r>
  <r>
    <s v="ORD0333"/>
    <d v="2025-09-09T00:00:00"/>
    <x v="0"/>
    <x v="0"/>
    <x v="0"/>
    <n v="5"/>
    <n v="409.47"/>
    <n v="0"/>
    <n v="2047.35"/>
    <n v="1347"/>
    <n v="700.35"/>
    <x v="6"/>
    <n v="0.34210000000000002"/>
  </r>
  <r>
    <s v="ORD0334"/>
    <d v="2025-01-21T00:00:00"/>
    <x v="0"/>
    <x v="7"/>
    <x v="0"/>
    <n v="3"/>
    <n v="187.73"/>
    <n v="0"/>
    <n v="563.19000000000005"/>
    <n v="388.75"/>
    <n v="174.44"/>
    <x v="11"/>
    <n v="0.30969999999999998"/>
  </r>
  <r>
    <s v="ORD0335"/>
    <d v="2025-05-09T00:00:00"/>
    <x v="0"/>
    <x v="3"/>
    <x v="1"/>
    <n v="1"/>
    <n v="211.74"/>
    <n v="0.1"/>
    <n v="190.57"/>
    <n v="124.96"/>
    <n v="65.61"/>
    <x v="4"/>
    <n v="0.34429999999999999"/>
  </r>
  <r>
    <s v="ORD0336"/>
    <d v="2025-08-20T00:00:00"/>
    <x v="3"/>
    <x v="5"/>
    <x v="1"/>
    <n v="5"/>
    <n v="29.6"/>
    <n v="0.15"/>
    <n v="125.8"/>
    <n v="80.599999999999994"/>
    <n v="45.2"/>
    <x v="7"/>
    <n v="0.35930000000000001"/>
  </r>
  <r>
    <s v="ORD0337"/>
    <d v="2025-03-20T00:00:00"/>
    <x v="3"/>
    <x v="5"/>
    <x v="1"/>
    <n v="3"/>
    <n v="43.21"/>
    <n v="0"/>
    <n v="129.63"/>
    <n v="89.19"/>
    <n v="40.44"/>
    <x v="9"/>
    <n v="0.312"/>
  </r>
  <r>
    <s v="ORD0338"/>
    <d v="2025-03-28T00:00:00"/>
    <x v="3"/>
    <x v="5"/>
    <x v="1"/>
    <n v="7"/>
    <n v="44.66"/>
    <n v="0"/>
    <n v="312.62"/>
    <n v="236.65"/>
    <n v="75.97"/>
    <x v="9"/>
    <n v="0.24299999999999999"/>
  </r>
  <r>
    <s v="ORD0339"/>
    <d v="2025-06-01T00:00:00"/>
    <x v="3"/>
    <x v="7"/>
    <x v="0"/>
    <n v="5"/>
    <n v="99.89"/>
    <n v="0.1"/>
    <n v="449.5"/>
    <n v="331.81"/>
    <n v="117.69"/>
    <x v="1"/>
    <n v="0.26179999999999998"/>
  </r>
  <r>
    <s v="ORD0340"/>
    <d v="2025-05-19T00:00:00"/>
    <x v="2"/>
    <x v="3"/>
    <x v="1"/>
    <n v="4"/>
    <n v="171.44"/>
    <n v="0"/>
    <n v="685.76"/>
    <n v="446.55"/>
    <n v="239.21"/>
    <x v="4"/>
    <n v="0.3488"/>
  </r>
  <r>
    <s v="ORD0341"/>
    <d v="2025-09-18T00:00:00"/>
    <x v="3"/>
    <x v="0"/>
    <x v="0"/>
    <n v="3"/>
    <n v="490.84"/>
    <n v="0"/>
    <n v="1472.52"/>
    <n v="915.59"/>
    <n v="556.92999999999995"/>
    <x v="6"/>
    <n v="0.37819999999999998"/>
  </r>
  <r>
    <s v="ORD0342"/>
    <d v="2025-08-08T00:00:00"/>
    <x v="3"/>
    <x v="2"/>
    <x v="1"/>
    <n v="6"/>
    <n v="129.37"/>
    <n v="0"/>
    <n v="776.22"/>
    <n v="454.11"/>
    <n v="322.11"/>
    <x v="7"/>
    <n v="0.41499999999999998"/>
  </r>
  <r>
    <s v="ORD0343"/>
    <d v="2025-10-19T00:00:00"/>
    <x v="0"/>
    <x v="0"/>
    <x v="0"/>
    <n v="1"/>
    <n v="638.72"/>
    <n v="0.05"/>
    <n v="606.78"/>
    <n v="353.45"/>
    <n v="253.33"/>
    <x v="10"/>
    <n v="0.41749999999999998"/>
  </r>
  <r>
    <s v="ORD0344"/>
    <d v="2025-09-12T00:00:00"/>
    <x v="0"/>
    <x v="5"/>
    <x v="1"/>
    <n v="6"/>
    <n v="16.36"/>
    <n v="0.15"/>
    <n v="83.44"/>
    <n v="57.97"/>
    <n v="25.47"/>
    <x v="6"/>
    <n v="0.30520000000000003"/>
  </r>
  <r>
    <s v="ORD0345"/>
    <d v="2025-09-26T00:00:00"/>
    <x v="3"/>
    <x v="4"/>
    <x v="0"/>
    <n v="5"/>
    <n v="178.82"/>
    <n v="0.05"/>
    <n v="849.39"/>
    <n v="515.88"/>
    <n v="333.51"/>
    <x v="6"/>
    <n v="0.3926"/>
  </r>
  <r>
    <s v="ORD0346"/>
    <d v="2025-01-10T00:00:00"/>
    <x v="1"/>
    <x v="7"/>
    <x v="0"/>
    <n v="7"/>
    <n v="225.4"/>
    <n v="0.05"/>
    <n v="1498.91"/>
    <n v="925.72"/>
    <n v="573.19000000000005"/>
    <x v="11"/>
    <n v="0.38240000000000002"/>
  </r>
  <r>
    <s v="ORD0347"/>
    <d v="2025-05-04T00:00:00"/>
    <x v="0"/>
    <x v="6"/>
    <x v="0"/>
    <n v="2"/>
    <n v="696"/>
    <n v="0"/>
    <n v="1392"/>
    <n v="951.71"/>
    <n v="440.29"/>
    <x v="4"/>
    <n v="0.31630000000000003"/>
  </r>
  <r>
    <s v="ORD0348"/>
    <d v="2025-10-15T00:00:00"/>
    <x v="1"/>
    <x v="6"/>
    <x v="0"/>
    <n v="2"/>
    <n v="1163"/>
    <n v="0"/>
    <n v="2326"/>
    <n v="1416.91"/>
    <n v="909.09"/>
    <x v="10"/>
    <n v="0.39079999999999998"/>
  </r>
  <r>
    <s v="ORD0349"/>
    <d v="2025-04-29T00:00:00"/>
    <x v="1"/>
    <x v="2"/>
    <x v="1"/>
    <n v="1"/>
    <n v="113.96"/>
    <n v="0"/>
    <n v="113.96"/>
    <n v="88.41"/>
    <n v="25.55"/>
    <x v="0"/>
    <n v="0.22420000000000001"/>
  </r>
  <r>
    <s v="ORD0350"/>
    <d v="2025-05-29T00:00:00"/>
    <x v="0"/>
    <x v="6"/>
    <x v="0"/>
    <n v="4"/>
    <n v="1147.3"/>
    <n v="0"/>
    <n v="4589.2"/>
    <n v="3493.35"/>
    <n v="1095.8499999999999"/>
    <x v="4"/>
    <n v="0.23880000000000001"/>
  </r>
  <r>
    <s v="ORD0351"/>
    <d v="2025-07-22T00:00:00"/>
    <x v="2"/>
    <x v="7"/>
    <x v="0"/>
    <n v="6"/>
    <n v="279.41000000000003"/>
    <n v="0.1"/>
    <n v="1508.81"/>
    <n v="1112.72"/>
    <n v="396.09"/>
    <x v="2"/>
    <n v="0.26250000000000001"/>
  </r>
  <r>
    <s v="ORD0352"/>
    <d v="2025-09-15T00:00:00"/>
    <x v="3"/>
    <x v="2"/>
    <x v="1"/>
    <n v="6"/>
    <n v="158.01"/>
    <n v="0.15"/>
    <n v="805.85"/>
    <n v="475.74"/>
    <n v="330.11"/>
    <x v="6"/>
    <n v="0.40960000000000002"/>
  </r>
  <r>
    <s v="ORD0353"/>
    <d v="2025-03-29T00:00:00"/>
    <x v="2"/>
    <x v="3"/>
    <x v="1"/>
    <n v="7"/>
    <n v="52"/>
    <n v="0.15"/>
    <n v="309.39999999999998"/>
    <n v="215.72"/>
    <n v="93.68"/>
    <x v="9"/>
    <n v="0.30280000000000001"/>
  </r>
  <r>
    <s v="ORD0354"/>
    <d v="2025-07-10T00:00:00"/>
    <x v="0"/>
    <x v="3"/>
    <x v="1"/>
    <n v="6"/>
    <n v="135.31"/>
    <n v="0.05"/>
    <n v="771.27"/>
    <n v="541.44000000000005"/>
    <n v="229.83"/>
    <x v="2"/>
    <n v="0.29799999999999999"/>
  </r>
  <r>
    <s v="ORD0355"/>
    <d v="2025-05-08T00:00:00"/>
    <x v="3"/>
    <x v="1"/>
    <x v="1"/>
    <n v="7"/>
    <n v="90.44"/>
    <n v="0.1"/>
    <n v="569.77"/>
    <n v="417.48"/>
    <n v="152.29"/>
    <x v="4"/>
    <n v="0.26729999999999998"/>
  </r>
  <r>
    <s v="ORD0356"/>
    <d v="2025-01-03T00:00:00"/>
    <x v="3"/>
    <x v="0"/>
    <x v="0"/>
    <n v="2"/>
    <n v="442.28"/>
    <n v="0.1"/>
    <n v="796.1"/>
    <n v="603.45000000000005"/>
    <n v="192.65"/>
    <x v="11"/>
    <n v="0.24199999999999999"/>
  </r>
  <r>
    <s v="ORD0357"/>
    <d v="2025-01-10T00:00:00"/>
    <x v="3"/>
    <x v="5"/>
    <x v="1"/>
    <n v="3"/>
    <n v="37.29"/>
    <n v="0.1"/>
    <n v="100.68"/>
    <n v="63.32"/>
    <n v="37.36"/>
    <x v="11"/>
    <n v="0.37109999999999999"/>
  </r>
  <r>
    <s v="ORD0358"/>
    <d v="2025-01-13T00:00:00"/>
    <x v="3"/>
    <x v="7"/>
    <x v="0"/>
    <n v="6"/>
    <n v="250.16"/>
    <n v="0"/>
    <n v="1500.96"/>
    <n v="998.58"/>
    <n v="502.38"/>
    <x v="11"/>
    <n v="0.3347"/>
  </r>
  <r>
    <s v="ORD0359"/>
    <d v="2025-07-28T00:00:00"/>
    <x v="0"/>
    <x v="5"/>
    <x v="1"/>
    <n v="4"/>
    <n v="12.33"/>
    <n v="0.1"/>
    <n v="44.39"/>
    <n v="26.12"/>
    <n v="18.27"/>
    <x v="2"/>
    <n v="0.41160000000000002"/>
  </r>
  <r>
    <s v="ORD0360"/>
    <d v="2025-08-31T00:00:00"/>
    <x v="1"/>
    <x v="2"/>
    <x v="1"/>
    <n v="1"/>
    <n v="154.55000000000001"/>
    <n v="0"/>
    <n v="154.55000000000001"/>
    <n v="101.77"/>
    <n v="52.78"/>
    <x v="7"/>
    <n v="0.34150000000000003"/>
  </r>
  <r>
    <s v="ORD0361"/>
    <d v="2025-05-12T00:00:00"/>
    <x v="2"/>
    <x v="0"/>
    <x v="0"/>
    <n v="6"/>
    <n v="592.03"/>
    <n v="0.15"/>
    <n v="3019.35"/>
    <n v="2018.12"/>
    <n v="1001.23"/>
    <x v="4"/>
    <n v="0.33160000000000001"/>
  </r>
  <r>
    <s v="ORD0362"/>
    <d v="2025-12-25T00:00:00"/>
    <x v="3"/>
    <x v="4"/>
    <x v="0"/>
    <n v="6"/>
    <n v="323.83999999999997"/>
    <n v="0"/>
    <n v="1943.04"/>
    <n v="1319.38"/>
    <n v="623.66"/>
    <x v="8"/>
    <n v="0.32100000000000001"/>
  </r>
  <r>
    <s v="ORD0363"/>
    <d v="2025-09-30T00:00:00"/>
    <x v="1"/>
    <x v="4"/>
    <x v="0"/>
    <n v="6"/>
    <n v="191.73"/>
    <n v="0"/>
    <n v="1150.3800000000001"/>
    <n v="774.25"/>
    <n v="376.13"/>
    <x v="6"/>
    <n v="0.32700000000000001"/>
  </r>
  <r>
    <s v="ORD0364"/>
    <d v="2025-07-05T00:00:00"/>
    <x v="1"/>
    <x v="0"/>
    <x v="0"/>
    <n v="4"/>
    <n v="419.75"/>
    <n v="0.1"/>
    <n v="1511.1"/>
    <n v="914.2"/>
    <n v="596.9"/>
    <x v="2"/>
    <n v="0.39500000000000002"/>
  </r>
  <r>
    <s v="ORD0365"/>
    <d v="2025-06-08T00:00:00"/>
    <x v="2"/>
    <x v="5"/>
    <x v="1"/>
    <n v="4"/>
    <n v="15.33"/>
    <n v="0.05"/>
    <n v="58.25"/>
    <n v="42.16"/>
    <n v="16.09"/>
    <x v="1"/>
    <n v="0.2762"/>
  </r>
  <r>
    <s v="ORD0366"/>
    <d v="2025-04-19T00:00:00"/>
    <x v="2"/>
    <x v="5"/>
    <x v="1"/>
    <n v="3"/>
    <n v="43.39"/>
    <n v="0"/>
    <n v="130.16999999999999"/>
    <n v="77.33"/>
    <n v="52.84"/>
    <x v="0"/>
    <n v="0.40589999999999998"/>
  </r>
  <r>
    <s v="ORD0367"/>
    <d v="2025-06-22T00:00:00"/>
    <x v="2"/>
    <x v="2"/>
    <x v="1"/>
    <n v="2"/>
    <n v="122"/>
    <n v="0.1"/>
    <n v="219.6"/>
    <n v="154.63"/>
    <n v="64.97"/>
    <x v="1"/>
    <n v="0.2959"/>
  </r>
  <r>
    <s v="ORD0368"/>
    <d v="2025-04-23T00:00:00"/>
    <x v="1"/>
    <x v="2"/>
    <x v="1"/>
    <n v="7"/>
    <n v="125.62"/>
    <n v="0"/>
    <n v="879.34"/>
    <n v="588.4"/>
    <n v="290.94"/>
    <x v="0"/>
    <n v="0.33090000000000003"/>
  </r>
  <r>
    <s v="ORD0369"/>
    <d v="2025-06-10T00:00:00"/>
    <x v="3"/>
    <x v="5"/>
    <x v="1"/>
    <n v="3"/>
    <n v="60.3"/>
    <n v="0.1"/>
    <n v="162.81"/>
    <n v="106.13"/>
    <n v="56.68"/>
    <x v="1"/>
    <n v="0.34810000000000002"/>
  </r>
  <r>
    <s v="ORD0370"/>
    <d v="2025-02-16T00:00:00"/>
    <x v="0"/>
    <x v="2"/>
    <x v="1"/>
    <n v="4"/>
    <n v="94.5"/>
    <n v="0"/>
    <n v="378"/>
    <n v="281.47000000000003"/>
    <n v="96.53"/>
    <x v="3"/>
    <n v="0.25540000000000002"/>
  </r>
  <r>
    <s v="ORD0371"/>
    <d v="2025-03-02T00:00:00"/>
    <x v="0"/>
    <x v="5"/>
    <x v="1"/>
    <n v="3"/>
    <n v="58.62"/>
    <n v="0.15"/>
    <n v="149.47999999999999"/>
    <n v="93.98"/>
    <n v="55.5"/>
    <x v="9"/>
    <n v="0.37130000000000002"/>
  </r>
  <r>
    <s v="ORD0372"/>
    <d v="2025-07-17T00:00:00"/>
    <x v="3"/>
    <x v="4"/>
    <x v="0"/>
    <n v="3"/>
    <n v="148.12"/>
    <n v="0"/>
    <n v="444.36"/>
    <n v="346.43"/>
    <n v="97.93"/>
    <x v="2"/>
    <n v="0.22040000000000001"/>
  </r>
  <r>
    <s v="ORD0373"/>
    <d v="2025-03-10T00:00:00"/>
    <x v="3"/>
    <x v="1"/>
    <x v="1"/>
    <n v="5"/>
    <n v="99.35"/>
    <n v="0"/>
    <n v="496.75"/>
    <n v="389.78"/>
    <n v="106.97"/>
    <x v="9"/>
    <n v="0.21529999999999999"/>
  </r>
  <r>
    <s v="ORD0374"/>
    <d v="2025-12-22T00:00:00"/>
    <x v="0"/>
    <x v="7"/>
    <x v="0"/>
    <n v="5"/>
    <n v="215.04"/>
    <n v="0"/>
    <n v="1075.2"/>
    <n v="865.5"/>
    <n v="209.7"/>
    <x v="8"/>
    <n v="0.19500000000000001"/>
  </r>
  <r>
    <s v="ORD0375"/>
    <d v="2025-10-07T00:00:00"/>
    <x v="3"/>
    <x v="4"/>
    <x v="0"/>
    <n v="4"/>
    <n v="155.44999999999999"/>
    <n v="0.15"/>
    <n v="528.53"/>
    <n v="421.9"/>
    <n v="106.63"/>
    <x v="10"/>
    <n v="0.20169999999999999"/>
  </r>
  <r>
    <s v="ORD0376"/>
    <d v="2025-02-26T00:00:00"/>
    <x v="1"/>
    <x v="5"/>
    <x v="1"/>
    <n v="6"/>
    <n v="15.61"/>
    <n v="0"/>
    <n v="93.66"/>
    <n v="57.28"/>
    <n v="36.380000000000003"/>
    <x v="3"/>
    <n v="0.38840000000000002"/>
  </r>
  <r>
    <s v="ORD0377"/>
    <d v="2025-12-08T00:00:00"/>
    <x v="2"/>
    <x v="5"/>
    <x v="1"/>
    <n v="1"/>
    <n v="72.27"/>
    <n v="0"/>
    <n v="72.27"/>
    <n v="42.91"/>
    <n v="29.36"/>
    <x v="8"/>
    <n v="0.40629999999999999"/>
  </r>
  <r>
    <s v="ORD0378"/>
    <d v="2025-07-01T00:00:00"/>
    <x v="1"/>
    <x v="0"/>
    <x v="0"/>
    <n v="3"/>
    <n v="309.54000000000002"/>
    <n v="0.1"/>
    <n v="835.76"/>
    <n v="680.28"/>
    <n v="155.47999999999999"/>
    <x v="2"/>
    <n v="0.186"/>
  </r>
  <r>
    <s v="ORD0379"/>
    <d v="2025-07-03T00:00:00"/>
    <x v="1"/>
    <x v="4"/>
    <x v="0"/>
    <n v="1"/>
    <n v="380.78"/>
    <n v="0"/>
    <n v="380.78"/>
    <n v="265.41000000000003"/>
    <n v="115.37"/>
    <x v="2"/>
    <n v="0.30299999999999999"/>
  </r>
  <r>
    <s v="ORD0380"/>
    <d v="2025-01-07T00:00:00"/>
    <x v="0"/>
    <x v="5"/>
    <x v="1"/>
    <n v="2"/>
    <n v="69.11"/>
    <n v="0"/>
    <n v="138.22"/>
    <n v="97.83"/>
    <n v="40.39"/>
    <x v="11"/>
    <n v="0.29220000000000002"/>
  </r>
  <r>
    <s v="ORD0381"/>
    <d v="2025-05-23T00:00:00"/>
    <x v="2"/>
    <x v="0"/>
    <x v="0"/>
    <n v="7"/>
    <n v="190.26"/>
    <n v="0.05"/>
    <n v="1265.23"/>
    <n v="1026.3699999999999"/>
    <n v="238.86"/>
    <x v="4"/>
    <n v="0.1888"/>
  </r>
  <r>
    <s v="ORD0382"/>
    <d v="2025-11-09T00:00:00"/>
    <x v="3"/>
    <x v="0"/>
    <x v="0"/>
    <n v="5"/>
    <n v="204.56"/>
    <n v="0"/>
    <n v="1022.8"/>
    <n v="657.09"/>
    <n v="365.71"/>
    <x v="5"/>
    <n v="0.35759999999999997"/>
  </r>
  <r>
    <s v="ORD0383"/>
    <d v="2025-11-01T00:00:00"/>
    <x v="1"/>
    <x v="4"/>
    <x v="0"/>
    <n v="5"/>
    <n v="219.52"/>
    <n v="0.05"/>
    <n v="1042.72"/>
    <n v="654.35"/>
    <n v="388.37"/>
    <x v="5"/>
    <n v="0.3725"/>
  </r>
  <r>
    <s v="ORD0384"/>
    <d v="2025-06-10T00:00:00"/>
    <x v="0"/>
    <x v="1"/>
    <x v="1"/>
    <n v="1"/>
    <n v="114.97"/>
    <n v="0.15"/>
    <n v="97.72"/>
    <n v="60.97"/>
    <n v="36.75"/>
    <x v="1"/>
    <n v="0.37609999999999999"/>
  </r>
  <r>
    <s v="ORD0385"/>
    <d v="2025-10-16T00:00:00"/>
    <x v="3"/>
    <x v="3"/>
    <x v="1"/>
    <n v="4"/>
    <n v="112.33"/>
    <n v="0"/>
    <n v="449.32"/>
    <n v="334.34"/>
    <n v="114.98"/>
    <x v="10"/>
    <n v="0.25590000000000002"/>
  </r>
  <r>
    <s v="ORD0386"/>
    <d v="2025-03-27T00:00:00"/>
    <x v="3"/>
    <x v="7"/>
    <x v="0"/>
    <n v="5"/>
    <n v="149.13"/>
    <n v="0"/>
    <n v="745.65"/>
    <n v="529.57000000000005"/>
    <n v="216.08"/>
    <x v="9"/>
    <n v="0.2898"/>
  </r>
  <r>
    <s v="ORD0387"/>
    <d v="2025-12-07T00:00:00"/>
    <x v="3"/>
    <x v="6"/>
    <x v="0"/>
    <n v="2"/>
    <n v="603.12"/>
    <n v="0.05"/>
    <n v="1145.93"/>
    <n v="797.94"/>
    <n v="347.99"/>
    <x v="8"/>
    <n v="0.30370000000000003"/>
  </r>
  <r>
    <s v="ORD0388"/>
    <d v="2025-05-05T00:00:00"/>
    <x v="1"/>
    <x v="4"/>
    <x v="0"/>
    <n v="6"/>
    <n v="403.49"/>
    <n v="0.05"/>
    <n v="2299.89"/>
    <n v="1589.11"/>
    <n v="710.78"/>
    <x v="4"/>
    <n v="0.309"/>
  </r>
  <r>
    <s v="ORD0389"/>
    <d v="2025-05-18T00:00:00"/>
    <x v="1"/>
    <x v="2"/>
    <x v="1"/>
    <n v="4"/>
    <n v="38.1"/>
    <n v="0.05"/>
    <n v="144.78"/>
    <n v="111.99"/>
    <n v="32.79"/>
    <x v="4"/>
    <n v="0.22650000000000001"/>
  </r>
  <r>
    <s v="ORD0390"/>
    <d v="2025-01-20T00:00:00"/>
    <x v="0"/>
    <x v="7"/>
    <x v="0"/>
    <n v="3"/>
    <n v="294.43"/>
    <n v="0"/>
    <n v="883.29"/>
    <n v="567.13"/>
    <n v="316.16000000000003"/>
    <x v="11"/>
    <n v="0.3579"/>
  </r>
  <r>
    <s v="ORD0391"/>
    <d v="2025-08-01T00:00:00"/>
    <x v="1"/>
    <x v="0"/>
    <x v="0"/>
    <n v="4"/>
    <n v="535.66999999999996"/>
    <n v="0.05"/>
    <n v="2035.55"/>
    <n v="1280.71"/>
    <n v="754.84"/>
    <x v="7"/>
    <n v="0.37080000000000002"/>
  </r>
  <r>
    <s v="ORD0392"/>
    <d v="2025-02-27T00:00:00"/>
    <x v="2"/>
    <x v="2"/>
    <x v="1"/>
    <n v="4"/>
    <n v="143.18"/>
    <n v="0"/>
    <n v="572.72"/>
    <n v="394.2"/>
    <n v="178.52"/>
    <x v="3"/>
    <n v="0.31169999999999998"/>
  </r>
  <r>
    <s v="ORD0393"/>
    <d v="2025-02-13T00:00:00"/>
    <x v="3"/>
    <x v="4"/>
    <x v="0"/>
    <n v="1"/>
    <n v="148.41999999999999"/>
    <n v="0"/>
    <n v="148.41999999999999"/>
    <n v="102.61"/>
    <n v="45.81"/>
    <x v="3"/>
    <n v="0.30869999999999997"/>
  </r>
  <r>
    <s v="ORD0394"/>
    <d v="2025-06-27T00:00:00"/>
    <x v="1"/>
    <x v="4"/>
    <x v="0"/>
    <n v="4"/>
    <n v="387.49"/>
    <n v="0"/>
    <n v="1549.96"/>
    <n v="1067"/>
    <n v="482.96"/>
    <x v="1"/>
    <n v="0.31159999999999999"/>
  </r>
  <r>
    <s v="ORD0395"/>
    <d v="2025-10-24T00:00:00"/>
    <x v="2"/>
    <x v="1"/>
    <x v="1"/>
    <n v="5"/>
    <n v="116.63"/>
    <n v="0"/>
    <n v="583.15"/>
    <n v="411.47"/>
    <n v="171.68"/>
    <x v="10"/>
    <n v="0.2944"/>
  </r>
  <r>
    <s v="ORD0396"/>
    <d v="2025-08-26T00:00:00"/>
    <x v="2"/>
    <x v="3"/>
    <x v="1"/>
    <n v="5"/>
    <n v="92.78"/>
    <n v="0.05"/>
    <n v="440.7"/>
    <n v="276.32"/>
    <n v="164.38"/>
    <x v="7"/>
    <n v="0.373"/>
  </r>
  <r>
    <s v="ORD0397"/>
    <d v="2025-12-02T00:00:00"/>
    <x v="1"/>
    <x v="4"/>
    <x v="0"/>
    <n v="2"/>
    <n v="278.76"/>
    <n v="0.05"/>
    <n v="529.64"/>
    <n v="328.3"/>
    <n v="201.34"/>
    <x v="8"/>
    <n v="0.38009999999999999"/>
  </r>
  <r>
    <s v="ORD0398"/>
    <d v="2025-08-08T00:00:00"/>
    <x v="3"/>
    <x v="3"/>
    <x v="1"/>
    <n v="3"/>
    <n v="200.98"/>
    <n v="0"/>
    <n v="602.94000000000005"/>
    <n v="423.08"/>
    <n v="179.86"/>
    <x v="7"/>
    <n v="0.29830000000000001"/>
  </r>
  <r>
    <s v="ORD0399"/>
    <d v="2025-09-03T00:00:00"/>
    <x v="1"/>
    <x v="0"/>
    <x v="0"/>
    <n v="5"/>
    <n v="524.34"/>
    <n v="0.1"/>
    <n v="2359.5300000000002"/>
    <n v="1545.87"/>
    <n v="813.66"/>
    <x v="6"/>
    <n v="0.3448"/>
  </r>
  <r>
    <s v="ORD0400"/>
    <d v="2025-03-04T00:00:00"/>
    <x v="3"/>
    <x v="7"/>
    <x v="0"/>
    <n v="1"/>
    <n v="298.94"/>
    <n v="0.05"/>
    <n v="283.99"/>
    <n v="230.63"/>
    <n v="53.36"/>
    <x v="9"/>
    <n v="0.18790000000000001"/>
  </r>
  <r>
    <s v="ORD0401"/>
    <d v="2025-04-12T00:00:00"/>
    <x v="0"/>
    <x v="0"/>
    <x v="0"/>
    <n v="5"/>
    <n v="493.92"/>
    <n v="0.05"/>
    <n v="2346.12"/>
    <n v="1454.19"/>
    <n v="891.93"/>
    <x v="0"/>
    <n v="0.38019999999999998"/>
  </r>
  <r>
    <s v="ORD0402"/>
    <d v="2025-12-19T00:00:00"/>
    <x v="2"/>
    <x v="0"/>
    <x v="0"/>
    <n v="3"/>
    <n v="256.25"/>
    <n v="0"/>
    <n v="768.75"/>
    <n v="549.15"/>
    <n v="219.6"/>
    <x v="8"/>
    <n v="0.28570000000000001"/>
  </r>
  <r>
    <s v="ORD0403"/>
    <d v="2025-07-08T00:00:00"/>
    <x v="2"/>
    <x v="6"/>
    <x v="0"/>
    <n v="4"/>
    <n v="1128.67"/>
    <n v="0"/>
    <n v="4514.68"/>
    <n v="3411.11"/>
    <n v="1103.57"/>
    <x v="2"/>
    <n v="0.24440000000000001"/>
  </r>
  <r>
    <s v="ORD0404"/>
    <d v="2025-12-30T00:00:00"/>
    <x v="2"/>
    <x v="3"/>
    <x v="1"/>
    <n v="1"/>
    <n v="186.53"/>
    <n v="0.05"/>
    <n v="177.2"/>
    <n v="132.97999999999999"/>
    <n v="44.22"/>
    <x v="8"/>
    <n v="0.2495"/>
  </r>
  <r>
    <s v="ORD0405"/>
    <d v="2025-10-13T00:00:00"/>
    <x v="0"/>
    <x v="6"/>
    <x v="0"/>
    <n v="5"/>
    <n v="715.31"/>
    <n v="0.1"/>
    <n v="3218.9"/>
    <n v="2546.66"/>
    <n v="672.24"/>
    <x v="10"/>
    <n v="0.20880000000000001"/>
  </r>
  <r>
    <s v="ORD0406"/>
    <d v="2025-06-12T00:00:00"/>
    <x v="2"/>
    <x v="7"/>
    <x v="0"/>
    <n v="5"/>
    <n v="119.37"/>
    <n v="0"/>
    <n v="596.85"/>
    <n v="449.18"/>
    <n v="147.66999999999999"/>
    <x v="1"/>
    <n v="0.24740000000000001"/>
  </r>
  <r>
    <s v="ORD0407"/>
    <d v="2025-10-06T00:00:00"/>
    <x v="2"/>
    <x v="4"/>
    <x v="0"/>
    <n v="1"/>
    <n v="369.3"/>
    <n v="0"/>
    <n v="369.3"/>
    <n v="268.58999999999997"/>
    <n v="100.71"/>
    <x v="10"/>
    <n v="0.2727"/>
  </r>
  <r>
    <s v="ORD0408"/>
    <d v="2025-12-13T00:00:00"/>
    <x v="1"/>
    <x v="7"/>
    <x v="0"/>
    <n v="6"/>
    <n v="281.89999999999998"/>
    <n v="0.1"/>
    <n v="1522.26"/>
    <n v="1191.1600000000001"/>
    <n v="331.1"/>
    <x v="8"/>
    <n v="0.2175"/>
  </r>
  <r>
    <s v="ORD0409"/>
    <d v="2025-09-05T00:00:00"/>
    <x v="2"/>
    <x v="6"/>
    <x v="0"/>
    <n v="4"/>
    <n v="1030.54"/>
    <n v="0"/>
    <n v="4122.16"/>
    <n v="2702.41"/>
    <n v="1419.75"/>
    <x v="6"/>
    <n v="0.34439999999999998"/>
  </r>
  <r>
    <s v="ORD0410"/>
    <d v="2025-09-04T00:00:00"/>
    <x v="1"/>
    <x v="0"/>
    <x v="0"/>
    <n v="7"/>
    <n v="258.55"/>
    <n v="0.05"/>
    <n v="1719.36"/>
    <n v="1406.47"/>
    <n v="312.89"/>
    <x v="6"/>
    <n v="0.182"/>
  </r>
  <r>
    <s v="ORD0411"/>
    <d v="2025-05-23T00:00:00"/>
    <x v="1"/>
    <x v="7"/>
    <x v="0"/>
    <n v="7"/>
    <n v="178.5"/>
    <n v="0.1"/>
    <n v="1124.55"/>
    <n v="710.41"/>
    <n v="414.14"/>
    <x v="4"/>
    <n v="0.36830000000000002"/>
  </r>
  <r>
    <s v="ORD0412"/>
    <d v="2025-02-08T00:00:00"/>
    <x v="3"/>
    <x v="3"/>
    <x v="1"/>
    <n v="3"/>
    <n v="176.18"/>
    <n v="0"/>
    <n v="528.54"/>
    <n v="402.86"/>
    <n v="125.68"/>
    <x v="3"/>
    <n v="0.23780000000000001"/>
  </r>
  <r>
    <s v="ORD0413"/>
    <d v="2025-09-08T00:00:00"/>
    <x v="1"/>
    <x v="1"/>
    <x v="1"/>
    <n v="4"/>
    <n v="88.17"/>
    <n v="0"/>
    <n v="352.68"/>
    <n v="281.33999999999997"/>
    <n v="71.34"/>
    <x v="6"/>
    <n v="0.20230000000000001"/>
  </r>
  <r>
    <s v="ORD0414"/>
    <d v="2025-04-10T00:00:00"/>
    <x v="3"/>
    <x v="0"/>
    <x v="0"/>
    <n v="3"/>
    <n v="232.17"/>
    <n v="0"/>
    <n v="696.51"/>
    <n v="480.93"/>
    <n v="215.58"/>
    <x v="0"/>
    <n v="0.3095"/>
  </r>
  <r>
    <s v="ORD0415"/>
    <d v="2025-03-25T00:00:00"/>
    <x v="3"/>
    <x v="7"/>
    <x v="0"/>
    <n v="6"/>
    <n v="188.9"/>
    <n v="0.15"/>
    <n v="963.39"/>
    <n v="584.37"/>
    <n v="379.02"/>
    <x v="9"/>
    <n v="0.39340000000000003"/>
  </r>
  <r>
    <s v="ORD0416"/>
    <d v="2025-03-24T00:00:00"/>
    <x v="0"/>
    <x v="6"/>
    <x v="0"/>
    <n v="6"/>
    <n v="1146.75"/>
    <n v="0"/>
    <n v="6880.5"/>
    <n v="5408.09"/>
    <n v="1472.41"/>
    <x v="9"/>
    <n v="0.214"/>
  </r>
  <r>
    <s v="ORD0417"/>
    <d v="2025-11-23T00:00:00"/>
    <x v="0"/>
    <x v="1"/>
    <x v="1"/>
    <n v="3"/>
    <n v="96.63"/>
    <n v="0.1"/>
    <n v="260.89999999999998"/>
    <n v="152.44999999999999"/>
    <n v="108.45"/>
    <x v="5"/>
    <n v="0.41570000000000001"/>
  </r>
  <r>
    <s v="ORD0418"/>
    <d v="2025-04-30T00:00:00"/>
    <x v="0"/>
    <x v="0"/>
    <x v="0"/>
    <n v="1"/>
    <n v="323.23"/>
    <n v="0.1"/>
    <n v="290.91000000000003"/>
    <n v="188.38"/>
    <n v="102.53"/>
    <x v="0"/>
    <n v="0.35239999999999999"/>
  </r>
  <r>
    <s v="ORD0419"/>
    <d v="2025-06-10T00:00:00"/>
    <x v="2"/>
    <x v="3"/>
    <x v="1"/>
    <n v="5"/>
    <n v="47.64"/>
    <n v="0"/>
    <n v="238.2"/>
    <n v="140.79"/>
    <n v="97.41"/>
    <x v="1"/>
    <n v="0.40889999999999999"/>
  </r>
  <r>
    <s v="ORD0420"/>
    <d v="2025-11-30T00:00:00"/>
    <x v="0"/>
    <x v="5"/>
    <x v="1"/>
    <n v="1"/>
    <n v="63.95"/>
    <n v="0"/>
    <n v="63.95"/>
    <n v="40.57"/>
    <n v="23.38"/>
    <x v="5"/>
    <n v="0.36559999999999998"/>
  </r>
  <r>
    <s v="ORD0421"/>
    <d v="2025-05-05T00:00:00"/>
    <x v="0"/>
    <x v="6"/>
    <x v="0"/>
    <n v="4"/>
    <n v="591.91999999999996"/>
    <n v="0.1"/>
    <n v="2130.91"/>
    <n v="1684.58"/>
    <n v="446.33"/>
    <x v="4"/>
    <n v="0.20949999999999999"/>
  </r>
  <r>
    <s v="ORD0422"/>
    <d v="2025-03-03T00:00:00"/>
    <x v="3"/>
    <x v="2"/>
    <x v="1"/>
    <n v="1"/>
    <n v="158.57"/>
    <n v="0.05"/>
    <n v="150.63999999999999"/>
    <n v="106.58"/>
    <n v="44.06"/>
    <x v="9"/>
    <n v="0.29249999999999998"/>
  </r>
  <r>
    <s v="ORD0423"/>
    <d v="2025-09-12T00:00:00"/>
    <x v="3"/>
    <x v="7"/>
    <x v="0"/>
    <n v="6"/>
    <n v="201.59"/>
    <n v="0"/>
    <n v="1209.54"/>
    <n v="930.62"/>
    <n v="278.92"/>
    <x v="6"/>
    <n v="0.2306"/>
  </r>
  <r>
    <s v="ORD0424"/>
    <d v="2025-07-20T00:00:00"/>
    <x v="3"/>
    <x v="3"/>
    <x v="1"/>
    <n v="4"/>
    <n v="75.739999999999995"/>
    <n v="0.05"/>
    <n v="287.81"/>
    <n v="217.88"/>
    <n v="69.930000000000007"/>
    <x v="2"/>
    <n v="0.24299999999999999"/>
  </r>
  <r>
    <s v="ORD0425"/>
    <d v="2025-01-08T00:00:00"/>
    <x v="3"/>
    <x v="6"/>
    <x v="0"/>
    <n v="4"/>
    <n v="1114.56"/>
    <n v="0"/>
    <n v="4458.24"/>
    <n v="3608.49"/>
    <n v="849.75"/>
    <x v="11"/>
    <n v="0.19059999999999999"/>
  </r>
  <r>
    <s v="ORD0426"/>
    <d v="2025-01-15T00:00:00"/>
    <x v="3"/>
    <x v="0"/>
    <x v="0"/>
    <n v="7"/>
    <n v="218.64"/>
    <n v="0.15"/>
    <n v="1300.9100000000001"/>
    <n v="899.53"/>
    <n v="401.38"/>
    <x v="11"/>
    <n v="0.3085"/>
  </r>
  <r>
    <s v="ORD0427"/>
    <d v="2025-02-07T00:00:00"/>
    <x v="2"/>
    <x v="1"/>
    <x v="1"/>
    <n v="2"/>
    <n v="40.659999999999997"/>
    <n v="0"/>
    <n v="81.319999999999993"/>
    <n v="65.67"/>
    <n v="15.65"/>
    <x v="3"/>
    <n v="0.19239999999999999"/>
  </r>
  <r>
    <s v="ORD0428"/>
    <d v="2025-09-17T00:00:00"/>
    <x v="0"/>
    <x v="6"/>
    <x v="0"/>
    <n v="5"/>
    <n v="965.74"/>
    <n v="0.05"/>
    <n v="4587.26"/>
    <n v="2805.6"/>
    <n v="1781.66"/>
    <x v="6"/>
    <n v="0.38840000000000002"/>
  </r>
  <r>
    <s v="ORD0429"/>
    <d v="2025-12-13T00:00:00"/>
    <x v="1"/>
    <x v="5"/>
    <x v="1"/>
    <n v="5"/>
    <n v="73.16"/>
    <n v="0"/>
    <n v="365.8"/>
    <n v="236.01"/>
    <n v="129.79"/>
    <x v="8"/>
    <n v="0.3548"/>
  </r>
  <r>
    <s v="ORD0430"/>
    <d v="2025-07-29T00:00:00"/>
    <x v="3"/>
    <x v="6"/>
    <x v="0"/>
    <n v="1"/>
    <n v="724.82"/>
    <n v="0"/>
    <n v="724.82"/>
    <n v="575.47"/>
    <n v="149.35"/>
    <x v="2"/>
    <n v="0.20610000000000001"/>
  </r>
  <r>
    <s v="ORD0431"/>
    <d v="2025-12-28T00:00:00"/>
    <x v="3"/>
    <x v="3"/>
    <x v="1"/>
    <n v="4"/>
    <n v="146.75"/>
    <n v="0.15"/>
    <n v="498.95"/>
    <n v="317.99"/>
    <n v="180.96"/>
    <x v="8"/>
    <n v="0.36270000000000002"/>
  </r>
  <r>
    <s v="ORD0432"/>
    <d v="2025-08-25T00:00:00"/>
    <x v="2"/>
    <x v="6"/>
    <x v="0"/>
    <n v="5"/>
    <n v="857.43"/>
    <n v="0.05"/>
    <n v="4072.79"/>
    <n v="2821.38"/>
    <n v="1251.4100000000001"/>
    <x v="7"/>
    <n v="0.30730000000000002"/>
  </r>
  <r>
    <s v="ORD0433"/>
    <d v="2025-07-09T00:00:00"/>
    <x v="2"/>
    <x v="7"/>
    <x v="0"/>
    <n v="1"/>
    <n v="224.31"/>
    <n v="0"/>
    <n v="224.31"/>
    <n v="130.51"/>
    <n v="93.8"/>
    <x v="2"/>
    <n v="0.41820000000000002"/>
  </r>
  <r>
    <s v="ORD0434"/>
    <d v="2025-07-11T00:00:00"/>
    <x v="0"/>
    <x v="1"/>
    <x v="1"/>
    <n v="4"/>
    <n v="35.26"/>
    <n v="0"/>
    <n v="141.04"/>
    <n v="108.97"/>
    <n v="32.07"/>
    <x v="2"/>
    <n v="0.22739999999999999"/>
  </r>
  <r>
    <s v="ORD0435"/>
    <d v="2025-11-01T00:00:00"/>
    <x v="3"/>
    <x v="4"/>
    <x v="0"/>
    <n v="3"/>
    <n v="153.76"/>
    <n v="0"/>
    <n v="461.28"/>
    <n v="357.95"/>
    <n v="103.33"/>
    <x v="5"/>
    <n v="0.224"/>
  </r>
  <r>
    <s v="ORD0436"/>
    <d v="2025-07-11T00:00:00"/>
    <x v="1"/>
    <x v="6"/>
    <x v="0"/>
    <n v="5"/>
    <n v="774.4"/>
    <n v="0.05"/>
    <n v="3678.4"/>
    <n v="2905.25"/>
    <n v="773.15"/>
    <x v="2"/>
    <n v="0.2102"/>
  </r>
  <r>
    <s v="ORD0437"/>
    <d v="2025-06-17T00:00:00"/>
    <x v="2"/>
    <x v="2"/>
    <x v="1"/>
    <n v="3"/>
    <n v="88.58"/>
    <n v="0.15"/>
    <n v="225.88"/>
    <n v="139.97"/>
    <n v="85.91"/>
    <x v="1"/>
    <n v="0.38030000000000003"/>
  </r>
  <r>
    <s v="ORD0438"/>
    <d v="2025-08-28T00:00:00"/>
    <x v="3"/>
    <x v="1"/>
    <x v="1"/>
    <n v="4"/>
    <n v="108.81"/>
    <n v="0.05"/>
    <n v="413.48"/>
    <n v="265.44"/>
    <n v="148.04"/>
    <x v="7"/>
    <n v="0.35799999999999998"/>
  </r>
  <r>
    <s v="ORD0439"/>
    <d v="2025-12-13T00:00:00"/>
    <x v="0"/>
    <x v="3"/>
    <x v="1"/>
    <n v="2"/>
    <n v="211.69"/>
    <n v="0.1"/>
    <n v="381.04"/>
    <n v="221.15"/>
    <n v="159.88999999999999"/>
    <x v="8"/>
    <n v="0.41959999999999997"/>
  </r>
  <r>
    <s v="ORD0440"/>
    <d v="2025-12-04T00:00:00"/>
    <x v="0"/>
    <x v="0"/>
    <x v="0"/>
    <n v="6"/>
    <n v="301.08"/>
    <n v="0"/>
    <n v="1806.48"/>
    <n v="1309.54"/>
    <n v="496.94"/>
    <x v="8"/>
    <n v="0.27510000000000001"/>
  </r>
  <r>
    <s v="ORD0441"/>
    <d v="2025-05-27T00:00:00"/>
    <x v="1"/>
    <x v="4"/>
    <x v="0"/>
    <n v="4"/>
    <n v="258.99"/>
    <n v="0.05"/>
    <n v="984.16"/>
    <n v="657.98"/>
    <n v="326.18"/>
    <x v="4"/>
    <n v="0.33139999999999997"/>
  </r>
  <r>
    <s v="ORD0442"/>
    <d v="2025-02-10T00:00:00"/>
    <x v="1"/>
    <x v="5"/>
    <x v="1"/>
    <n v="4"/>
    <n v="68.72"/>
    <n v="0"/>
    <n v="274.88"/>
    <n v="180.61"/>
    <n v="94.27"/>
    <x v="3"/>
    <n v="0.34289999999999998"/>
  </r>
  <r>
    <s v="ORD0443"/>
    <d v="2025-09-23T00:00:00"/>
    <x v="0"/>
    <x v="4"/>
    <x v="0"/>
    <n v="7"/>
    <n v="340.29"/>
    <n v="0.05"/>
    <n v="2262.9299999999998"/>
    <n v="1794.8"/>
    <n v="468.13"/>
    <x v="6"/>
    <n v="0.2069"/>
  </r>
  <r>
    <s v="ORD0444"/>
    <d v="2025-03-25T00:00:00"/>
    <x v="0"/>
    <x v="4"/>
    <x v="0"/>
    <n v="3"/>
    <n v="423.12"/>
    <n v="0.05"/>
    <n v="1205.8900000000001"/>
    <n v="952.28"/>
    <n v="253.61"/>
    <x v="9"/>
    <n v="0.21029999999999999"/>
  </r>
  <r>
    <s v="ORD0445"/>
    <d v="2025-10-23T00:00:00"/>
    <x v="0"/>
    <x v="1"/>
    <x v="1"/>
    <n v="5"/>
    <n v="110.73"/>
    <n v="0"/>
    <n v="553.65"/>
    <n v="392.07"/>
    <n v="161.58000000000001"/>
    <x v="10"/>
    <n v="0.2918"/>
  </r>
  <r>
    <s v="ORD0446"/>
    <d v="2025-10-28T00:00:00"/>
    <x v="1"/>
    <x v="6"/>
    <x v="0"/>
    <n v="1"/>
    <n v="824.32"/>
    <n v="0"/>
    <n v="824.32"/>
    <n v="574.25"/>
    <n v="250.07"/>
    <x v="10"/>
    <n v="0.3034"/>
  </r>
  <r>
    <s v="ORD0447"/>
    <d v="2025-10-06T00:00:00"/>
    <x v="2"/>
    <x v="4"/>
    <x v="0"/>
    <n v="5"/>
    <n v="178.13"/>
    <n v="0.05"/>
    <n v="846.12"/>
    <n v="560.44000000000005"/>
    <n v="285.68"/>
    <x v="10"/>
    <n v="0.33760000000000001"/>
  </r>
  <r>
    <s v="ORD0448"/>
    <d v="2025-04-09T00:00:00"/>
    <x v="3"/>
    <x v="6"/>
    <x v="0"/>
    <n v="6"/>
    <n v="1099.6400000000001"/>
    <n v="0.05"/>
    <n v="6267.95"/>
    <n v="4282.16"/>
    <n v="1985.79"/>
    <x v="0"/>
    <n v="0.31680000000000003"/>
  </r>
  <r>
    <s v="ORD0449"/>
    <d v="2025-12-20T00:00:00"/>
    <x v="2"/>
    <x v="0"/>
    <x v="0"/>
    <n v="1"/>
    <n v="323.97000000000003"/>
    <n v="0.1"/>
    <n v="291.57"/>
    <n v="200.35"/>
    <n v="91.22"/>
    <x v="8"/>
    <n v="0.31290000000000001"/>
  </r>
  <r>
    <s v="ORD0450"/>
    <d v="2025-12-26T00:00:00"/>
    <x v="1"/>
    <x v="1"/>
    <x v="1"/>
    <n v="3"/>
    <n v="106.47"/>
    <n v="0.15"/>
    <n v="271.5"/>
    <n v="185.55"/>
    <n v="85.95"/>
    <x v="8"/>
    <n v="0.31659999999999999"/>
  </r>
  <r>
    <s v="ORD0451"/>
    <d v="2025-06-16T00:00:00"/>
    <x v="0"/>
    <x v="7"/>
    <x v="0"/>
    <n v="2"/>
    <n v="186.21"/>
    <n v="0"/>
    <n v="372.42"/>
    <n v="251.13"/>
    <n v="121.29"/>
    <x v="1"/>
    <n v="0.32569999999999999"/>
  </r>
  <r>
    <s v="ORD0452"/>
    <d v="2025-07-12T00:00:00"/>
    <x v="1"/>
    <x v="7"/>
    <x v="0"/>
    <n v="4"/>
    <n v="201.94"/>
    <n v="0"/>
    <n v="807.76"/>
    <n v="641.05999999999995"/>
    <n v="166.7"/>
    <x v="2"/>
    <n v="0.2064"/>
  </r>
  <r>
    <s v="ORD0453"/>
    <d v="2025-05-06T00:00:00"/>
    <x v="1"/>
    <x v="5"/>
    <x v="1"/>
    <n v="3"/>
    <n v="13.6"/>
    <n v="0.05"/>
    <n v="38.76"/>
    <n v="28.41"/>
    <n v="10.35"/>
    <x v="4"/>
    <n v="0.26700000000000002"/>
  </r>
  <r>
    <s v="ORD0454"/>
    <d v="2025-04-26T00:00:00"/>
    <x v="2"/>
    <x v="6"/>
    <x v="0"/>
    <n v="1"/>
    <n v="990.13"/>
    <n v="0.05"/>
    <n v="940.62"/>
    <n v="627.87"/>
    <n v="312.75"/>
    <x v="0"/>
    <n v="0.33250000000000002"/>
  </r>
  <r>
    <s v="ORD0455"/>
    <d v="2025-11-21T00:00:00"/>
    <x v="0"/>
    <x v="5"/>
    <x v="1"/>
    <n v="6"/>
    <n v="40.6"/>
    <n v="0.05"/>
    <n v="231.42"/>
    <n v="142.03"/>
    <n v="89.39"/>
    <x v="5"/>
    <n v="0.38629999999999998"/>
  </r>
  <r>
    <s v="ORD0456"/>
    <d v="2025-12-29T00:00:00"/>
    <x v="2"/>
    <x v="7"/>
    <x v="0"/>
    <n v="3"/>
    <n v="228.3"/>
    <n v="0"/>
    <n v="684.9"/>
    <n v="413.56"/>
    <n v="271.33999999999997"/>
    <x v="8"/>
    <n v="0.3962"/>
  </r>
  <r>
    <s v="ORD0457"/>
    <d v="2025-09-02T00:00:00"/>
    <x v="0"/>
    <x v="1"/>
    <x v="1"/>
    <n v="2"/>
    <n v="62.57"/>
    <n v="0"/>
    <n v="125.14"/>
    <n v="77"/>
    <n v="48.14"/>
    <x v="6"/>
    <n v="0.38469999999999999"/>
  </r>
  <r>
    <s v="ORD0458"/>
    <d v="2025-02-04T00:00:00"/>
    <x v="1"/>
    <x v="4"/>
    <x v="0"/>
    <n v="5"/>
    <n v="399"/>
    <n v="0"/>
    <n v="1995"/>
    <n v="1336.56"/>
    <n v="658.44"/>
    <x v="3"/>
    <n v="0.33"/>
  </r>
  <r>
    <s v="ORD0459"/>
    <d v="2025-02-28T00:00:00"/>
    <x v="1"/>
    <x v="2"/>
    <x v="1"/>
    <n v="4"/>
    <n v="159.33000000000001"/>
    <n v="0.05"/>
    <n v="605.45000000000005"/>
    <n v="363.98"/>
    <n v="241.47"/>
    <x v="3"/>
    <n v="0.39879999999999999"/>
  </r>
  <r>
    <s v="ORD0460"/>
    <d v="2025-03-10T00:00:00"/>
    <x v="3"/>
    <x v="2"/>
    <x v="1"/>
    <n v="4"/>
    <n v="34.020000000000003"/>
    <n v="0.15"/>
    <n v="115.67"/>
    <n v="88.56"/>
    <n v="27.11"/>
    <x v="9"/>
    <n v="0.2344"/>
  </r>
  <r>
    <s v="ORD0461"/>
    <d v="2025-12-09T00:00:00"/>
    <x v="1"/>
    <x v="6"/>
    <x v="0"/>
    <n v="1"/>
    <n v="895.97"/>
    <n v="0"/>
    <n v="895.97"/>
    <n v="572.76"/>
    <n v="323.20999999999998"/>
    <x v="8"/>
    <n v="0.36070000000000002"/>
  </r>
  <r>
    <s v="ORD0462"/>
    <d v="2025-12-07T00:00:00"/>
    <x v="0"/>
    <x v="1"/>
    <x v="1"/>
    <n v="2"/>
    <n v="103.55"/>
    <n v="0.1"/>
    <n v="186.39"/>
    <n v="116.03"/>
    <n v="70.36"/>
    <x v="8"/>
    <n v="0.3775"/>
  </r>
  <r>
    <s v="ORD0463"/>
    <d v="2025-04-02T00:00:00"/>
    <x v="1"/>
    <x v="0"/>
    <x v="0"/>
    <n v="4"/>
    <n v="290.47000000000003"/>
    <n v="0.1"/>
    <n v="1045.69"/>
    <n v="743.23"/>
    <n v="302.45999999999998"/>
    <x v="0"/>
    <n v="0.28920000000000001"/>
  </r>
  <r>
    <s v="ORD0464"/>
    <d v="2025-09-30T00:00:00"/>
    <x v="1"/>
    <x v="7"/>
    <x v="0"/>
    <n v="5"/>
    <n v="205.45"/>
    <n v="0.05"/>
    <n v="975.89"/>
    <n v="680.52"/>
    <n v="295.37"/>
    <x v="6"/>
    <n v="0.30270000000000002"/>
  </r>
  <r>
    <s v="ORD0465"/>
    <d v="2025-06-14T00:00:00"/>
    <x v="1"/>
    <x v="5"/>
    <x v="1"/>
    <n v="2"/>
    <n v="51.27"/>
    <n v="0.05"/>
    <n v="97.41"/>
    <n v="71.010000000000005"/>
    <n v="26.4"/>
    <x v="1"/>
    <n v="0.27100000000000002"/>
  </r>
  <r>
    <s v="ORD0466"/>
    <d v="2025-03-05T00:00:00"/>
    <x v="1"/>
    <x v="3"/>
    <x v="1"/>
    <n v="4"/>
    <n v="192.72"/>
    <n v="0.1"/>
    <n v="693.79"/>
    <n v="553.41"/>
    <n v="140.38"/>
    <x v="9"/>
    <n v="0.20230000000000001"/>
  </r>
  <r>
    <s v="ORD0467"/>
    <d v="2025-05-29T00:00:00"/>
    <x v="0"/>
    <x v="3"/>
    <x v="1"/>
    <n v="2"/>
    <n v="168.6"/>
    <n v="0.05"/>
    <n v="320.33999999999997"/>
    <n v="252.68"/>
    <n v="67.66"/>
    <x v="4"/>
    <n v="0.2112"/>
  </r>
  <r>
    <s v="ORD0468"/>
    <d v="2025-02-15T00:00:00"/>
    <x v="0"/>
    <x v="1"/>
    <x v="1"/>
    <n v="7"/>
    <n v="36.86"/>
    <n v="0.1"/>
    <n v="232.22"/>
    <n v="150.06"/>
    <n v="82.16"/>
    <x v="3"/>
    <n v="0.3538"/>
  </r>
  <r>
    <s v="ORD0469"/>
    <d v="2025-08-24T00:00:00"/>
    <x v="2"/>
    <x v="5"/>
    <x v="1"/>
    <n v="6"/>
    <n v="21.37"/>
    <n v="0.05"/>
    <n v="121.81"/>
    <n v="99.33"/>
    <n v="22.48"/>
    <x v="7"/>
    <n v="0.1845"/>
  </r>
  <r>
    <s v="ORD0470"/>
    <d v="2025-08-04T00:00:00"/>
    <x v="1"/>
    <x v="7"/>
    <x v="0"/>
    <n v="6"/>
    <n v="243.07"/>
    <n v="0"/>
    <n v="1458.42"/>
    <n v="945.91"/>
    <n v="512.51"/>
    <x v="7"/>
    <n v="0.35139999999999999"/>
  </r>
  <r>
    <s v="ORD0471"/>
    <d v="2025-06-28T00:00:00"/>
    <x v="3"/>
    <x v="0"/>
    <x v="0"/>
    <n v="3"/>
    <n v="420.3"/>
    <n v="0.05"/>
    <n v="1197.8599999999999"/>
    <n v="860.72"/>
    <n v="337.14"/>
    <x v="1"/>
    <n v="0.28149999999999997"/>
  </r>
  <r>
    <s v="ORD0472"/>
    <d v="2025-09-17T00:00:00"/>
    <x v="1"/>
    <x v="2"/>
    <x v="1"/>
    <n v="3"/>
    <n v="82.99"/>
    <n v="0.1"/>
    <n v="224.07"/>
    <n v="171.07"/>
    <n v="53"/>
    <x v="6"/>
    <n v="0.23649999999999999"/>
  </r>
  <r>
    <s v="ORD0473"/>
    <d v="2025-12-03T00:00:00"/>
    <x v="3"/>
    <x v="3"/>
    <x v="1"/>
    <n v="3"/>
    <n v="72.09"/>
    <n v="0"/>
    <n v="216.27"/>
    <n v="169.76"/>
    <n v="46.51"/>
    <x v="8"/>
    <n v="0.21510000000000001"/>
  </r>
  <r>
    <s v="ORD0474"/>
    <d v="2025-11-21T00:00:00"/>
    <x v="3"/>
    <x v="6"/>
    <x v="0"/>
    <n v="1"/>
    <n v="1130.51"/>
    <n v="0"/>
    <n v="1130.51"/>
    <n v="895.4"/>
    <n v="235.11"/>
    <x v="5"/>
    <n v="0.20799999999999999"/>
  </r>
  <r>
    <s v="ORD0475"/>
    <d v="2025-01-22T00:00:00"/>
    <x v="3"/>
    <x v="0"/>
    <x v="0"/>
    <n v="6"/>
    <n v="283.75"/>
    <n v="0.1"/>
    <n v="1532.25"/>
    <n v="1169.1400000000001"/>
    <n v="363.11"/>
    <x v="11"/>
    <n v="0.23699999999999999"/>
  </r>
  <r>
    <s v="ORD0476"/>
    <d v="2025-10-04T00:00:00"/>
    <x v="2"/>
    <x v="2"/>
    <x v="1"/>
    <n v="3"/>
    <n v="143.37"/>
    <n v="0.05"/>
    <n v="408.6"/>
    <n v="299.02"/>
    <n v="109.58"/>
    <x v="10"/>
    <n v="0.26819999999999999"/>
  </r>
  <r>
    <s v="ORD0477"/>
    <d v="2025-08-10T00:00:00"/>
    <x v="1"/>
    <x v="5"/>
    <x v="1"/>
    <n v="2"/>
    <n v="33"/>
    <n v="0.1"/>
    <n v="59.4"/>
    <n v="41.99"/>
    <n v="17.41"/>
    <x v="7"/>
    <n v="0.29310000000000003"/>
  </r>
  <r>
    <s v="ORD0478"/>
    <d v="2025-01-30T00:00:00"/>
    <x v="1"/>
    <x v="1"/>
    <x v="1"/>
    <n v="3"/>
    <n v="44.06"/>
    <n v="0.15"/>
    <n v="112.35"/>
    <n v="67.58"/>
    <n v="44.77"/>
    <x v="11"/>
    <n v="0.39850000000000002"/>
  </r>
  <r>
    <s v="ORD0479"/>
    <d v="2025-05-21T00:00:00"/>
    <x v="2"/>
    <x v="1"/>
    <x v="1"/>
    <n v="1"/>
    <n v="57.47"/>
    <n v="0.05"/>
    <n v="54.6"/>
    <n v="32.57"/>
    <n v="22.03"/>
    <x v="4"/>
    <n v="0.40350000000000003"/>
  </r>
  <r>
    <s v="ORD0480"/>
    <d v="2025-02-04T00:00:00"/>
    <x v="0"/>
    <x v="7"/>
    <x v="0"/>
    <n v="5"/>
    <n v="303.7"/>
    <n v="0.1"/>
    <n v="1366.65"/>
    <n v="1082.74"/>
    <n v="283.91000000000003"/>
    <x v="3"/>
    <n v="0.2077"/>
  </r>
  <r>
    <s v="ORD0481"/>
    <d v="2025-12-24T00:00:00"/>
    <x v="1"/>
    <x v="0"/>
    <x v="0"/>
    <n v="7"/>
    <n v="409.19"/>
    <n v="0"/>
    <n v="2864.33"/>
    <n v="1941.47"/>
    <n v="922.86"/>
    <x v="8"/>
    <n v="0.32219999999999999"/>
  </r>
  <r>
    <s v="ORD0482"/>
    <d v="2025-02-14T00:00:00"/>
    <x v="3"/>
    <x v="1"/>
    <x v="1"/>
    <n v="3"/>
    <n v="85.05"/>
    <n v="0.05"/>
    <n v="242.39"/>
    <n v="181.18"/>
    <n v="61.21"/>
    <x v="3"/>
    <n v="0.2525"/>
  </r>
  <r>
    <s v="ORD0483"/>
    <d v="2025-06-11T00:00:00"/>
    <x v="0"/>
    <x v="1"/>
    <x v="1"/>
    <n v="3"/>
    <n v="107.55"/>
    <n v="0.05"/>
    <n v="306.52"/>
    <n v="186.09"/>
    <n v="120.43"/>
    <x v="1"/>
    <n v="0.39290000000000003"/>
  </r>
  <r>
    <s v="ORD0484"/>
    <d v="2025-04-21T00:00:00"/>
    <x v="1"/>
    <x v="5"/>
    <x v="1"/>
    <n v="6"/>
    <n v="15.16"/>
    <n v="0"/>
    <n v="90.96"/>
    <n v="61.55"/>
    <n v="29.41"/>
    <x v="0"/>
    <n v="0.32329999999999998"/>
  </r>
  <r>
    <s v="ORD0485"/>
    <d v="2025-02-24T00:00:00"/>
    <x v="1"/>
    <x v="5"/>
    <x v="1"/>
    <n v="2"/>
    <n v="29.7"/>
    <n v="0.1"/>
    <n v="53.46"/>
    <n v="42.93"/>
    <n v="10.53"/>
    <x v="3"/>
    <n v="0.19700000000000001"/>
  </r>
  <r>
    <s v="ORD0486"/>
    <d v="2025-06-07T00:00:00"/>
    <x v="3"/>
    <x v="2"/>
    <x v="1"/>
    <n v="5"/>
    <n v="105.82"/>
    <n v="0.1"/>
    <n v="476.19"/>
    <n v="338.93"/>
    <n v="137.26"/>
    <x v="1"/>
    <n v="0.28820000000000001"/>
  </r>
  <r>
    <s v="ORD0487"/>
    <d v="2025-01-31T00:00:00"/>
    <x v="3"/>
    <x v="3"/>
    <x v="1"/>
    <n v="5"/>
    <n v="74.709999999999994"/>
    <n v="0"/>
    <n v="373.55"/>
    <n v="284.76"/>
    <n v="88.79"/>
    <x v="11"/>
    <n v="0.23769999999999999"/>
  </r>
  <r>
    <s v="ORD0488"/>
    <d v="2025-02-23T00:00:00"/>
    <x v="2"/>
    <x v="0"/>
    <x v="0"/>
    <n v="7"/>
    <n v="587.46"/>
    <n v="0.05"/>
    <n v="3906.61"/>
    <n v="3036"/>
    <n v="870.61"/>
    <x v="3"/>
    <n v="0.22289999999999999"/>
  </r>
  <r>
    <s v="ORD0489"/>
    <d v="2025-12-01T00:00:00"/>
    <x v="0"/>
    <x v="5"/>
    <x v="1"/>
    <n v="2"/>
    <n v="27.24"/>
    <n v="0.1"/>
    <n v="49.03"/>
    <n v="38.119999999999997"/>
    <n v="10.91"/>
    <x v="8"/>
    <n v="0.2225"/>
  </r>
  <r>
    <s v="ORD0490"/>
    <d v="2025-01-12T00:00:00"/>
    <x v="1"/>
    <x v="2"/>
    <x v="1"/>
    <n v="7"/>
    <n v="45.59"/>
    <n v="0.15"/>
    <n v="271.26"/>
    <n v="204.25"/>
    <n v="67.010000000000005"/>
    <x v="11"/>
    <n v="0.247"/>
  </r>
  <r>
    <s v="ORD0491"/>
    <d v="2025-12-27T00:00:00"/>
    <x v="2"/>
    <x v="0"/>
    <x v="0"/>
    <n v="6"/>
    <n v="594.54"/>
    <n v="0.1"/>
    <n v="3210.52"/>
    <n v="2418.21"/>
    <n v="792.31"/>
    <x v="8"/>
    <n v="0.24679999999999999"/>
  </r>
  <r>
    <s v="ORD0492"/>
    <d v="2025-10-01T00:00:00"/>
    <x v="2"/>
    <x v="6"/>
    <x v="0"/>
    <n v="7"/>
    <n v="616.79"/>
    <n v="0"/>
    <n v="4317.53"/>
    <n v="3315.53"/>
    <n v="1002"/>
    <x v="10"/>
    <n v="0.2321"/>
  </r>
  <r>
    <s v="ORD0493"/>
    <d v="2025-11-21T00:00:00"/>
    <x v="2"/>
    <x v="2"/>
    <x v="1"/>
    <n v="6"/>
    <n v="146.44"/>
    <n v="0.05"/>
    <n v="834.71"/>
    <n v="577.67999999999995"/>
    <n v="257.02999999999997"/>
    <x v="5"/>
    <n v="0.30790000000000001"/>
  </r>
  <r>
    <s v="ORD0494"/>
    <d v="2025-05-17T00:00:00"/>
    <x v="1"/>
    <x v="6"/>
    <x v="0"/>
    <n v="5"/>
    <n v="1155.08"/>
    <n v="0.1"/>
    <n v="5197.8599999999997"/>
    <n v="3176.84"/>
    <n v="2021.02"/>
    <x v="4"/>
    <n v="0.38879999999999998"/>
  </r>
  <r>
    <s v="ORD0495"/>
    <d v="2025-03-24T00:00:00"/>
    <x v="3"/>
    <x v="4"/>
    <x v="0"/>
    <n v="4"/>
    <n v="317.26"/>
    <n v="0.15"/>
    <n v="1078.68"/>
    <n v="869.76"/>
    <n v="208.92"/>
    <x v="9"/>
    <n v="0.19370000000000001"/>
  </r>
  <r>
    <s v="ORD0496"/>
    <d v="2025-11-12T00:00:00"/>
    <x v="1"/>
    <x v="2"/>
    <x v="1"/>
    <n v="4"/>
    <n v="117.77"/>
    <n v="0"/>
    <n v="471.08"/>
    <n v="278.01"/>
    <n v="193.07"/>
    <x v="5"/>
    <n v="0.4098"/>
  </r>
  <r>
    <s v="ORD0497"/>
    <d v="2025-01-13T00:00:00"/>
    <x v="3"/>
    <x v="6"/>
    <x v="0"/>
    <n v="7"/>
    <n v="552.84"/>
    <n v="0"/>
    <n v="3869.88"/>
    <n v="2906.79"/>
    <n v="963.09"/>
    <x v="11"/>
    <n v="0.24890000000000001"/>
  </r>
  <r>
    <s v="ORD0498"/>
    <d v="2025-07-20T00:00:00"/>
    <x v="3"/>
    <x v="6"/>
    <x v="0"/>
    <n v="4"/>
    <n v="634.24"/>
    <n v="0.05"/>
    <n v="2410.11"/>
    <n v="1943.89"/>
    <n v="466.22"/>
    <x v="2"/>
    <n v="0.19339999999999999"/>
  </r>
  <r>
    <s v="ORD0499"/>
    <d v="2025-10-31T00:00:00"/>
    <x v="1"/>
    <x v="5"/>
    <x v="1"/>
    <n v="3"/>
    <n v="51.96"/>
    <n v="0.15"/>
    <n v="132.5"/>
    <n v="80.180000000000007"/>
    <n v="52.32"/>
    <x v="10"/>
    <n v="0.39489999999999997"/>
  </r>
  <r>
    <s v="ORD0500"/>
    <d v="2025-08-15T00:00:00"/>
    <x v="2"/>
    <x v="5"/>
    <x v="1"/>
    <n v="1"/>
    <n v="41.99"/>
    <n v="0"/>
    <n v="41.99"/>
    <n v="30.75"/>
    <n v="11.24"/>
    <x v="7"/>
    <n v="0.26769999999999999"/>
  </r>
  <r>
    <s v="ORD0501"/>
    <d v="2025-04-10T00:00:00"/>
    <x v="1"/>
    <x v="6"/>
    <x v="0"/>
    <n v="4"/>
    <n v="1108.32"/>
    <n v="0"/>
    <n v="4433.28"/>
    <n v="3158.7"/>
    <n v="1274.58"/>
    <x v="0"/>
    <n v="0.28749999999999998"/>
  </r>
  <r>
    <s v="ORD0502"/>
    <d v="2025-04-10T00:00:00"/>
    <x v="3"/>
    <x v="4"/>
    <x v="0"/>
    <n v="1"/>
    <n v="343.78"/>
    <n v="0.05"/>
    <n v="326.58999999999997"/>
    <n v="258.41000000000003"/>
    <n v="68.180000000000007"/>
    <x v="0"/>
    <n v="0.20880000000000001"/>
  </r>
  <r>
    <s v="ORD0503"/>
    <d v="2025-10-19T00:00:00"/>
    <x v="0"/>
    <x v="0"/>
    <x v="0"/>
    <n v="5"/>
    <n v="196.89"/>
    <n v="0"/>
    <n v="984.45"/>
    <n v="790.9"/>
    <n v="193.55"/>
    <x v="10"/>
    <n v="0.1966"/>
  </r>
  <r>
    <s v="ORD0504"/>
    <d v="2025-11-06T00:00:00"/>
    <x v="0"/>
    <x v="1"/>
    <x v="1"/>
    <n v="4"/>
    <n v="117.59"/>
    <n v="0"/>
    <n v="470.36"/>
    <n v="349.82"/>
    <n v="120.54"/>
    <x v="5"/>
    <n v="0.25629999999999997"/>
  </r>
  <r>
    <s v="ORD0505"/>
    <d v="2025-02-18T00:00:00"/>
    <x v="0"/>
    <x v="6"/>
    <x v="0"/>
    <n v="4"/>
    <n v="605.47"/>
    <n v="0"/>
    <n v="2421.88"/>
    <n v="1792.31"/>
    <n v="629.57000000000005"/>
    <x v="3"/>
    <n v="0.26"/>
  </r>
  <r>
    <s v="ORD0506"/>
    <d v="2025-01-13T00:00:00"/>
    <x v="3"/>
    <x v="2"/>
    <x v="1"/>
    <n v="2"/>
    <n v="100.69"/>
    <n v="0"/>
    <n v="201.38"/>
    <n v="150.05000000000001"/>
    <n v="51.33"/>
    <x v="11"/>
    <n v="0.25490000000000002"/>
  </r>
  <r>
    <s v="ORD0507"/>
    <d v="2025-04-21T00:00:00"/>
    <x v="0"/>
    <x v="2"/>
    <x v="1"/>
    <n v="2"/>
    <n v="32.51"/>
    <n v="0"/>
    <n v="65.02"/>
    <n v="44.17"/>
    <n v="20.85"/>
    <x v="0"/>
    <n v="0.32069999999999999"/>
  </r>
  <r>
    <s v="ORD0508"/>
    <d v="2025-08-16T00:00:00"/>
    <x v="0"/>
    <x v="6"/>
    <x v="0"/>
    <n v="4"/>
    <n v="936.84"/>
    <n v="0"/>
    <n v="3747.36"/>
    <n v="2590.86"/>
    <n v="1156.5"/>
    <x v="7"/>
    <n v="0.30859999999999999"/>
  </r>
  <r>
    <s v="ORD0509"/>
    <d v="2025-06-24T00:00:00"/>
    <x v="3"/>
    <x v="5"/>
    <x v="1"/>
    <n v="2"/>
    <n v="54.69"/>
    <n v="0"/>
    <n v="109.38"/>
    <n v="83.76"/>
    <n v="25.62"/>
    <x v="1"/>
    <n v="0.23419999999999999"/>
  </r>
  <r>
    <s v="ORD0510"/>
    <d v="2025-07-06T00:00:00"/>
    <x v="1"/>
    <x v="7"/>
    <x v="0"/>
    <n v="4"/>
    <n v="343.76"/>
    <n v="0"/>
    <n v="1375.04"/>
    <n v="803.12"/>
    <n v="571.91999999999996"/>
    <x v="2"/>
    <n v="0.41589999999999999"/>
  </r>
  <r>
    <s v="ORD0511"/>
    <d v="2025-06-02T00:00:00"/>
    <x v="3"/>
    <x v="2"/>
    <x v="1"/>
    <n v="1"/>
    <n v="45.63"/>
    <n v="0"/>
    <n v="45.63"/>
    <n v="26.66"/>
    <n v="18.97"/>
    <x v="1"/>
    <n v="0.41570000000000001"/>
  </r>
  <r>
    <s v="ORD0512"/>
    <d v="2025-07-27T00:00:00"/>
    <x v="1"/>
    <x v="0"/>
    <x v="0"/>
    <n v="2"/>
    <n v="284.93"/>
    <n v="0.05"/>
    <n v="541.37"/>
    <n v="388.14"/>
    <n v="153.22999999999999"/>
    <x v="2"/>
    <n v="0.28299999999999997"/>
  </r>
  <r>
    <s v="ORD0513"/>
    <d v="2025-06-09T00:00:00"/>
    <x v="1"/>
    <x v="3"/>
    <x v="1"/>
    <n v="4"/>
    <n v="136.44999999999999"/>
    <n v="0.1"/>
    <n v="491.22"/>
    <n v="364.55"/>
    <n v="126.67"/>
    <x v="1"/>
    <n v="0.25790000000000002"/>
  </r>
  <r>
    <s v="ORD0514"/>
    <d v="2025-02-28T00:00:00"/>
    <x v="2"/>
    <x v="7"/>
    <x v="0"/>
    <n v="1"/>
    <n v="247.6"/>
    <n v="0"/>
    <n v="247.6"/>
    <n v="155.91"/>
    <n v="91.69"/>
    <x v="3"/>
    <n v="0.37030000000000002"/>
  </r>
  <r>
    <s v="ORD0515"/>
    <d v="2025-07-24T00:00:00"/>
    <x v="1"/>
    <x v="7"/>
    <x v="0"/>
    <n v="3"/>
    <n v="274.64"/>
    <n v="0.15"/>
    <n v="700.33"/>
    <n v="507.59"/>
    <n v="192.74"/>
    <x v="2"/>
    <n v="0.2752"/>
  </r>
  <r>
    <s v="ORD0516"/>
    <d v="2025-04-29T00:00:00"/>
    <x v="3"/>
    <x v="5"/>
    <x v="1"/>
    <n v="7"/>
    <n v="54.31"/>
    <n v="0.05"/>
    <n v="361.16"/>
    <n v="295.3"/>
    <n v="65.86"/>
    <x v="0"/>
    <n v="0.18240000000000001"/>
  </r>
  <r>
    <s v="ORD0517"/>
    <d v="2025-08-21T00:00:00"/>
    <x v="3"/>
    <x v="7"/>
    <x v="0"/>
    <n v="4"/>
    <n v="231.57"/>
    <n v="0.15"/>
    <n v="787.34"/>
    <n v="470.94"/>
    <n v="316.39999999999998"/>
    <x v="7"/>
    <n v="0.40189999999999998"/>
  </r>
  <r>
    <s v="ORD0518"/>
    <d v="2025-10-28T00:00:00"/>
    <x v="1"/>
    <x v="1"/>
    <x v="1"/>
    <n v="2"/>
    <n v="43.6"/>
    <n v="0"/>
    <n v="87.2"/>
    <n v="63.6"/>
    <n v="23.6"/>
    <x v="10"/>
    <n v="0.27060000000000001"/>
  </r>
  <r>
    <s v="ORD0519"/>
    <d v="2025-11-17T00:00:00"/>
    <x v="3"/>
    <x v="1"/>
    <x v="1"/>
    <n v="5"/>
    <n v="102.06"/>
    <n v="0.05"/>
    <n v="484.78"/>
    <n v="326.33"/>
    <n v="158.44999999999999"/>
    <x v="5"/>
    <n v="0.32679999999999998"/>
  </r>
  <r>
    <s v="ORD0520"/>
    <d v="2025-06-08T00:00:00"/>
    <x v="3"/>
    <x v="0"/>
    <x v="0"/>
    <n v="4"/>
    <n v="338.55"/>
    <n v="0.1"/>
    <n v="1218.78"/>
    <n v="864.5"/>
    <n v="354.28"/>
    <x v="1"/>
    <n v="0.29070000000000001"/>
  </r>
  <r>
    <s v="ORD0521"/>
    <d v="2025-12-27T00:00:00"/>
    <x v="1"/>
    <x v="2"/>
    <x v="1"/>
    <n v="2"/>
    <n v="119.71"/>
    <n v="0.15"/>
    <n v="203.51"/>
    <n v="142.33000000000001"/>
    <n v="61.18"/>
    <x v="8"/>
    <n v="0.30059999999999998"/>
  </r>
  <r>
    <s v="ORD0522"/>
    <d v="2025-08-12T00:00:00"/>
    <x v="3"/>
    <x v="7"/>
    <x v="0"/>
    <n v="6"/>
    <n v="198.07"/>
    <n v="0"/>
    <n v="1188.42"/>
    <n v="906.36"/>
    <n v="282.06"/>
    <x v="7"/>
    <n v="0.23730000000000001"/>
  </r>
  <r>
    <s v="ORD0523"/>
    <d v="2025-07-29T00:00:00"/>
    <x v="0"/>
    <x v="4"/>
    <x v="0"/>
    <n v="5"/>
    <n v="438.32"/>
    <n v="0.05"/>
    <n v="2082.02"/>
    <n v="1671.61"/>
    <n v="410.41"/>
    <x v="2"/>
    <n v="0.1971"/>
  </r>
  <r>
    <s v="ORD0524"/>
    <d v="2025-04-03T00:00:00"/>
    <x v="2"/>
    <x v="4"/>
    <x v="0"/>
    <n v="6"/>
    <n v="274.17"/>
    <n v="0"/>
    <n v="1645.02"/>
    <n v="1019.55"/>
    <n v="625.47"/>
    <x v="0"/>
    <n v="0.38019999999999998"/>
  </r>
  <r>
    <s v="ORD0525"/>
    <d v="2025-11-29T00:00:00"/>
    <x v="0"/>
    <x v="5"/>
    <x v="1"/>
    <n v="5"/>
    <n v="15.15"/>
    <n v="0.1"/>
    <n v="68.180000000000007"/>
    <n v="55.6"/>
    <n v="12.58"/>
    <x v="5"/>
    <n v="0.1845"/>
  </r>
  <r>
    <s v="ORD0526"/>
    <d v="2025-12-21T00:00:00"/>
    <x v="2"/>
    <x v="1"/>
    <x v="1"/>
    <n v="7"/>
    <n v="47.99"/>
    <n v="0.15"/>
    <n v="285.54000000000002"/>
    <n v="179.11"/>
    <n v="106.43"/>
    <x v="8"/>
    <n v="0.37269999999999998"/>
  </r>
  <r>
    <s v="ORD0527"/>
    <d v="2025-03-30T00:00:00"/>
    <x v="0"/>
    <x v="7"/>
    <x v="0"/>
    <n v="3"/>
    <n v="345.1"/>
    <n v="0.05"/>
    <n v="983.54"/>
    <n v="631.72"/>
    <n v="351.82"/>
    <x v="9"/>
    <n v="0.35770000000000002"/>
  </r>
  <r>
    <s v="ORD0528"/>
    <d v="2025-09-17T00:00:00"/>
    <x v="2"/>
    <x v="1"/>
    <x v="1"/>
    <n v="7"/>
    <n v="31.94"/>
    <n v="0.05"/>
    <n v="212.4"/>
    <n v="173.21"/>
    <n v="39.19"/>
    <x v="6"/>
    <n v="0.1845"/>
  </r>
  <r>
    <s v="ORD0529"/>
    <d v="2025-09-02T00:00:00"/>
    <x v="2"/>
    <x v="1"/>
    <x v="1"/>
    <n v="5"/>
    <n v="111.25"/>
    <n v="0.15"/>
    <n v="472.81"/>
    <n v="383.18"/>
    <n v="89.63"/>
    <x v="6"/>
    <n v="0.18959999999999999"/>
  </r>
  <r>
    <s v="ORD0530"/>
    <d v="2025-12-18T00:00:00"/>
    <x v="2"/>
    <x v="4"/>
    <x v="0"/>
    <n v="2"/>
    <n v="374.77"/>
    <n v="0"/>
    <n v="749.54"/>
    <n v="520.52"/>
    <n v="229.02"/>
    <x v="8"/>
    <n v="0.30549999999999999"/>
  </r>
  <r>
    <s v="ORD0531"/>
    <d v="2025-03-29T00:00:00"/>
    <x v="0"/>
    <x v="0"/>
    <x v="0"/>
    <n v="6"/>
    <n v="481.09"/>
    <n v="0.05"/>
    <n v="2742.21"/>
    <n v="1697.56"/>
    <n v="1044.6500000000001"/>
    <x v="9"/>
    <n v="0.38100000000000001"/>
  </r>
  <r>
    <s v="ORD0532"/>
    <d v="2025-04-11T00:00:00"/>
    <x v="2"/>
    <x v="2"/>
    <x v="1"/>
    <n v="5"/>
    <n v="94.86"/>
    <n v="0"/>
    <n v="474.3"/>
    <n v="276.12"/>
    <n v="198.18"/>
    <x v="0"/>
    <n v="0.4178"/>
  </r>
  <r>
    <s v="ORD0533"/>
    <d v="2025-09-09T00:00:00"/>
    <x v="2"/>
    <x v="7"/>
    <x v="0"/>
    <n v="4"/>
    <n v="149.46"/>
    <n v="0.05"/>
    <n v="567.95000000000005"/>
    <n v="359.68"/>
    <n v="208.27"/>
    <x v="6"/>
    <n v="0.36670000000000003"/>
  </r>
  <r>
    <s v="ORD0534"/>
    <d v="2025-12-15T00:00:00"/>
    <x v="1"/>
    <x v="4"/>
    <x v="0"/>
    <n v="7"/>
    <n v="365.95"/>
    <n v="0"/>
    <n v="2561.65"/>
    <n v="1749.32"/>
    <n v="812.33"/>
    <x v="8"/>
    <n v="0.31709999999999999"/>
  </r>
  <r>
    <s v="ORD0535"/>
    <d v="2025-09-04T00:00:00"/>
    <x v="1"/>
    <x v="5"/>
    <x v="1"/>
    <n v="5"/>
    <n v="12.03"/>
    <n v="0.15"/>
    <n v="51.13"/>
    <n v="31.54"/>
    <n v="19.59"/>
    <x v="6"/>
    <n v="0.3831"/>
  </r>
  <r>
    <s v="ORD0536"/>
    <d v="2025-11-19T00:00:00"/>
    <x v="2"/>
    <x v="4"/>
    <x v="0"/>
    <n v="3"/>
    <n v="293.35000000000002"/>
    <n v="0.05"/>
    <n v="836.05"/>
    <n v="581.53"/>
    <n v="254.52"/>
    <x v="5"/>
    <n v="0.3044"/>
  </r>
  <r>
    <s v="ORD0537"/>
    <d v="2025-12-12T00:00:00"/>
    <x v="0"/>
    <x v="5"/>
    <x v="1"/>
    <n v="5"/>
    <n v="14.05"/>
    <n v="0"/>
    <n v="70.25"/>
    <n v="48.24"/>
    <n v="22.01"/>
    <x v="8"/>
    <n v="0.31330000000000002"/>
  </r>
  <r>
    <s v="ORD0538"/>
    <d v="2025-03-23T00:00:00"/>
    <x v="2"/>
    <x v="6"/>
    <x v="0"/>
    <n v="2"/>
    <n v="1195.0899999999999"/>
    <n v="0"/>
    <n v="2390.1799999999998"/>
    <n v="1715.48"/>
    <n v="674.7"/>
    <x v="9"/>
    <n v="0.2823"/>
  </r>
  <r>
    <s v="ORD0539"/>
    <d v="2025-12-09T00:00:00"/>
    <x v="0"/>
    <x v="6"/>
    <x v="0"/>
    <n v="2"/>
    <n v="1136.45"/>
    <n v="0.1"/>
    <n v="2045.61"/>
    <n v="1664.82"/>
    <n v="380.79"/>
    <x v="8"/>
    <n v="0.18609999999999999"/>
  </r>
  <r>
    <s v="ORD0540"/>
    <d v="2025-10-05T00:00:00"/>
    <x v="0"/>
    <x v="1"/>
    <x v="1"/>
    <n v="3"/>
    <n v="96.42"/>
    <n v="0"/>
    <n v="289.26"/>
    <n v="234.16"/>
    <n v="55.1"/>
    <x v="10"/>
    <n v="0.1905"/>
  </r>
  <r>
    <s v="ORD0541"/>
    <d v="2025-11-08T00:00:00"/>
    <x v="1"/>
    <x v="7"/>
    <x v="0"/>
    <n v="5"/>
    <n v="148.47"/>
    <n v="0"/>
    <n v="742.35"/>
    <n v="558.69000000000005"/>
    <n v="183.66"/>
    <x v="5"/>
    <n v="0.24740000000000001"/>
  </r>
  <r>
    <s v="ORD0542"/>
    <d v="2025-07-18T00:00:00"/>
    <x v="1"/>
    <x v="3"/>
    <x v="1"/>
    <n v="3"/>
    <n v="95.37"/>
    <n v="0.1"/>
    <n v="257.5"/>
    <n v="158.24"/>
    <n v="99.26"/>
    <x v="2"/>
    <n v="0.38550000000000001"/>
  </r>
  <r>
    <s v="ORD0543"/>
    <d v="2025-10-06T00:00:00"/>
    <x v="0"/>
    <x v="0"/>
    <x v="0"/>
    <n v="7"/>
    <n v="577.54999999999995"/>
    <n v="0"/>
    <n v="4042.85"/>
    <n v="3085.28"/>
    <n v="957.57"/>
    <x v="10"/>
    <n v="0.2369"/>
  </r>
  <r>
    <s v="ORD0544"/>
    <d v="2025-05-27T00:00:00"/>
    <x v="2"/>
    <x v="5"/>
    <x v="1"/>
    <n v="7"/>
    <n v="46.3"/>
    <n v="0"/>
    <n v="324.10000000000002"/>
    <n v="207.84"/>
    <n v="116.26"/>
    <x v="4"/>
    <n v="0.35870000000000002"/>
  </r>
  <r>
    <s v="ORD0545"/>
    <d v="2025-09-28T00:00:00"/>
    <x v="1"/>
    <x v="0"/>
    <x v="0"/>
    <n v="6"/>
    <n v="277.33"/>
    <n v="0"/>
    <n v="1663.98"/>
    <n v="992.67"/>
    <n v="671.31"/>
    <x v="6"/>
    <n v="0.40339999999999998"/>
  </r>
  <r>
    <s v="ORD0546"/>
    <d v="2025-07-08T00:00:00"/>
    <x v="2"/>
    <x v="3"/>
    <x v="1"/>
    <n v="1"/>
    <n v="110.74"/>
    <n v="0.1"/>
    <n v="99.67"/>
    <n v="77.8"/>
    <n v="21.87"/>
    <x v="2"/>
    <n v="0.21940000000000001"/>
  </r>
  <r>
    <s v="ORD0547"/>
    <d v="2025-06-30T00:00:00"/>
    <x v="2"/>
    <x v="4"/>
    <x v="0"/>
    <n v="5"/>
    <n v="379.05"/>
    <n v="0.05"/>
    <n v="1800.49"/>
    <n v="1109.79"/>
    <n v="690.7"/>
    <x v="1"/>
    <n v="0.3836"/>
  </r>
  <r>
    <s v="ORD0548"/>
    <d v="2025-06-18T00:00:00"/>
    <x v="3"/>
    <x v="5"/>
    <x v="1"/>
    <n v="7"/>
    <n v="70.650000000000006"/>
    <n v="0"/>
    <n v="494.55"/>
    <n v="351.73"/>
    <n v="142.82"/>
    <x v="1"/>
    <n v="0.2888"/>
  </r>
  <r>
    <s v="ORD0549"/>
    <d v="2025-06-17T00:00:00"/>
    <x v="1"/>
    <x v="3"/>
    <x v="1"/>
    <n v="1"/>
    <n v="46.35"/>
    <n v="0"/>
    <n v="46.35"/>
    <n v="34.93"/>
    <n v="11.42"/>
    <x v="1"/>
    <n v="0.24640000000000001"/>
  </r>
  <r>
    <s v="ORD0550"/>
    <d v="2025-12-08T00:00:00"/>
    <x v="1"/>
    <x v="0"/>
    <x v="0"/>
    <n v="6"/>
    <n v="184.74"/>
    <n v="0"/>
    <n v="1108.44"/>
    <n v="877.73"/>
    <n v="230.71"/>
    <x v="8"/>
    <n v="0.20810000000000001"/>
  </r>
  <r>
    <s v="ORD0551"/>
    <d v="2025-06-18T00:00:00"/>
    <x v="3"/>
    <x v="5"/>
    <x v="1"/>
    <n v="4"/>
    <n v="31.54"/>
    <n v="0.1"/>
    <n v="113.54"/>
    <n v="83.31"/>
    <n v="30.23"/>
    <x v="1"/>
    <n v="0.26619999999999999"/>
  </r>
  <r>
    <s v="ORD0552"/>
    <d v="2025-04-22T00:00:00"/>
    <x v="1"/>
    <x v="3"/>
    <x v="1"/>
    <n v="7"/>
    <n v="147.78"/>
    <n v="0.1"/>
    <n v="931.01"/>
    <n v="722.77"/>
    <n v="208.24"/>
    <x v="0"/>
    <n v="0.22370000000000001"/>
  </r>
  <r>
    <s v="ORD0553"/>
    <d v="2025-08-16T00:00:00"/>
    <x v="1"/>
    <x v="1"/>
    <x v="1"/>
    <n v="6"/>
    <n v="36.909999999999997"/>
    <n v="0"/>
    <n v="221.46"/>
    <n v="181.57"/>
    <n v="39.89"/>
    <x v="7"/>
    <n v="0.18010000000000001"/>
  </r>
  <r>
    <s v="ORD0554"/>
    <d v="2025-02-28T00:00:00"/>
    <x v="1"/>
    <x v="7"/>
    <x v="0"/>
    <n v="6"/>
    <n v="192.23"/>
    <n v="0.05"/>
    <n v="1095.71"/>
    <n v="809.34"/>
    <n v="286.37"/>
    <x v="3"/>
    <n v="0.26140000000000002"/>
  </r>
  <r>
    <s v="ORD0555"/>
    <d v="2025-01-09T00:00:00"/>
    <x v="3"/>
    <x v="0"/>
    <x v="0"/>
    <n v="2"/>
    <n v="513.38"/>
    <n v="0"/>
    <n v="1026.76"/>
    <n v="787.89"/>
    <n v="238.87"/>
    <x v="11"/>
    <n v="0.2326"/>
  </r>
  <r>
    <s v="ORD0556"/>
    <d v="2025-04-21T00:00:00"/>
    <x v="3"/>
    <x v="1"/>
    <x v="1"/>
    <n v="2"/>
    <n v="70.78"/>
    <n v="0"/>
    <n v="141.56"/>
    <n v="114.35"/>
    <n v="27.21"/>
    <x v="0"/>
    <n v="0.19220000000000001"/>
  </r>
  <r>
    <s v="ORD0557"/>
    <d v="2025-02-20T00:00:00"/>
    <x v="2"/>
    <x v="1"/>
    <x v="1"/>
    <n v="5"/>
    <n v="78.209999999999994"/>
    <n v="0.1"/>
    <n v="351.94"/>
    <n v="263.97000000000003"/>
    <n v="87.97"/>
    <x v="3"/>
    <n v="0.25"/>
  </r>
  <r>
    <s v="ORD0558"/>
    <d v="2025-07-17T00:00:00"/>
    <x v="3"/>
    <x v="6"/>
    <x v="0"/>
    <n v="1"/>
    <n v="841.73"/>
    <n v="0"/>
    <n v="841.73"/>
    <n v="524.61"/>
    <n v="317.12"/>
    <x v="2"/>
    <n v="0.37669999999999998"/>
  </r>
  <r>
    <s v="ORD0559"/>
    <d v="2025-09-08T00:00:00"/>
    <x v="3"/>
    <x v="0"/>
    <x v="0"/>
    <n v="7"/>
    <n v="238.81"/>
    <n v="0.1"/>
    <n v="1504.5"/>
    <n v="997.04"/>
    <n v="507.46"/>
    <x v="6"/>
    <n v="0.33729999999999999"/>
  </r>
  <r>
    <s v="ORD0560"/>
    <d v="2025-01-03T00:00:00"/>
    <x v="3"/>
    <x v="3"/>
    <x v="1"/>
    <n v="1"/>
    <n v="98.89"/>
    <n v="0"/>
    <n v="98.89"/>
    <n v="80.58"/>
    <n v="18.309999999999999"/>
    <x v="11"/>
    <n v="0.1852"/>
  </r>
  <r>
    <s v="ORD0561"/>
    <d v="2025-03-06T00:00:00"/>
    <x v="3"/>
    <x v="0"/>
    <x v="0"/>
    <n v="1"/>
    <n v="521.72"/>
    <n v="0.05"/>
    <n v="495.63"/>
    <n v="400.12"/>
    <n v="95.51"/>
    <x v="9"/>
    <n v="0.19270000000000001"/>
  </r>
  <r>
    <s v="ORD0562"/>
    <d v="2025-12-05T00:00:00"/>
    <x v="1"/>
    <x v="1"/>
    <x v="1"/>
    <n v="2"/>
    <n v="40.49"/>
    <n v="0.1"/>
    <n v="72.88"/>
    <n v="55.12"/>
    <n v="17.760000000000002"/>
    <x v="8"/>
    <n v="0.2437"/>
  </r>
  <r>
    <s v="ORD0563"/>
    <d v="2025-07-08T00:00:00"/>
    <x v="1"/>
    <x v="5"/>
    <x v="1"/>
    <n v="3"/>
    <n v="12.72"/>
    <n v="0.1"/>
    <n v="34.340000000000003"/>
    <n v="27.91"/>
    <n v="6.43"/>
    <x v="2"/>
    <n v="0.18720000000000001"/>
  </r>
  <r>
    <s v="ORD0564"/>
    <d v="2025-06-17T00:00:00"/>
    <x v="1"/>
    <x v="5"/>
    <x v="1"/>
    <n v="3"/>
    <n v="43.57"/>
    <n v="0.1"/>
    <n v="117.64"/>
    <n v="83.32"/>
    <n v="34.32"/>
    <x v="1"/>
    <n v="0.29170000000000001"/>
  </r>
  <r>
    <s v="ORD0565"/>
    <d v="2025-08-28T00:00:00"/>
    <x v="2"/>
    <x v="3"/>
    <x v="1"/>
    <n v="1"/>
    <n v="92.13"/>
    <n v="0.05"/>
    <n v="87.52"/>
    <n v="53.25"/>
    <n v="34.270000000000003"/>
    <x v="7"/>
    <n v="0.3916"/>
  </r>
  <r>
    <s v="ORD0566"/>
    <d v="2025-03-30T00:00:00"/>
    <x v="2"/>
    <x v="2"/>
    <x v="1"/>
    <n v="3"/>
    <n v="153.82"/>
    <n v="0"/>
    <n v="461.46"/>
    <n v="365.03"/>
    <n v="96.43"/>
    <x v="9"/>
    <n v="0.20899999999999999"/>
  </r>
  <r>
    <s v="ORD0567"/>
    <d v="2025-11-09T00:00:00"/>
    <x v="3"/>
    <x v="0"/>
    <x v="0"/>
    <n v="4"/>
    <n v="473.76"/>
    <n v="0"/>
    <n v="1895.04"/>
    <n v="1470.43"/>
    <n v="424.61"/>
    <x v="5"/>
    <n v="0.22409999999999999"/>
  </r>
  <r>
    <s v="ORD0568"/>
    <d v="2025-03-24T00:00:00"/>
    <x v="1"/>
    <x v="7"/>
    <x v="0"/>
    <n v="7"/>
    <n v="171.34"/>
    <n v="0.15"/>
    <n v="1019.47"/>
    <n v="799.43"/>
    <n v="220.04"/>
    <x v="9"/>
    <n v="0.21579999999999999"/>
  </r>
  <r>
    <s v="ORD0569"/>
    <d v="2025-05-06T00:00:00"/>
    <x v="3"/>
    <x v="4"/>
    <x v="0"/>
    <n v="4"/>
    <n v="348.95"/>
    <n v="0"/>
    <n v="1395.8"/>
    <n v="993.43"/>
    <n v="402.37"/>
    <x v="4"/>
    <n v="0.2883"/>
  </r>
  <r>
    <s v="ORD0570"/>
    <d v="2025-02-26T00:00:00"/>
    <x v="2"/>
    <x v="1"/>
    <x v="1"/>
    <n v="5"/>
    <n v="58.53"/>
    <n v="0.05"/>
    <n v="278.02"/>
    <n v="183.54"/>
    <n v="94.48"/>
    <x v="3"/>
    <n v="0.33979999999999999"/>
  </r>
  <r>
    <s v="ORD0571"/>
    <d v="2025-01-19T00:00:00"/>
    <x v="0"/>
    <x v="2"/>
    <x v="1"/>
    <n v="5"/>
    <n v="38.89"/>
    <n v="0.1"/>
    <n v="175"/>
    <n v="113.5"/>
    <n v="61.5"/>
    <x v="11"/>
    <n v="0.35139999999999999"/>
  </r>
  <r>
    <s v="ORD0572"/>
    <d v="2025-05-21T00:00:00"/>
    <x v="2"/>
    <x v="3"/>
    <x v="1"/>
    <n v="3"/>
    <n v="45.47"/>
    <n v="0"/>
    <n v="136.41"/>
    <n v="110.04"/>
    <n v="26.37"/>
    <x v="4"/>
    <n v="0.1933"/>
  </r>
  <r>
    <s v="ORD0573"/>
    <d v="2025-11-06T00:00:00"/>
    <x v="3"/>
    <x v="2"/>
    <x v="1"/>
    <n v="7"/>
    <n v="112.2"/>
    <n v="0"/>
    <n v="785.4"/>
    <n v="534.39"/>
    <n v="251.01"/>
    <x v="5"/>
    <n v="0.3196"/>
  </r>
  <r>
    <s v="ORD0574"/>
    <d v="2025-02-26T00:00:00"/>
    <x v="2"/>
    <x v="7"/>
    <x v="0"/>
    <n v="4"/>
    <n v="162.24"/>
    <n v="0"/>
    <n v="648.96"/>
    <n v="443.68"/>
    <n v="205.28"/>
    <x v="3"/>
    <n v="0.31630000000000003"/>
  </r>
  <r>
    <s v="ORD0575"/>
    <d v="2025-11-21T00:00:00"/>
    <x v="2"/>
    <x v="4"/>
    <x v="0"/>
    <n v="6"/>
    <n v="300.8"/>
    <n v="0"/>
    <n v="1804.8"/>
    <n v="1467.23"/>
    <n v="337.57"/>
    <x v="5"/>
    <n v="0.187"/>
  </r>
  <r>
    <s v="ORD0576"/>
    <d v="2025-08-07T00:00:00"/>
    <x v="3"/>
    <x v="2"/>
    <x v="1"/>
    <n v="1"/>
    <n v="125.93"/>
    <n v="0.1"/>
    <n v="113.34"/>
    <n v="77.239999999999995"/>
    <n v="36.1"/>
    <x v="7"/>
    <n v="0.31850000000000001"/>
  </r>
  <r>
    <s v="ORD0577"/>
    <d v="2025-07-27T00:00:00"/>
    <x v="0"/>
    <x v="5"/>
    <x v="1"/>
    <n v="7"/>
    <n v="28.65"/>
    <n v="0"/>
    <n v="200.55"/>
    <n v="139.57"/>
    <n v="60.98"/>
    <x v="2"/>
    <n v="0.30409999999999998"/>
  </r>
  <r>
    <s v="ORD0578"/>
    <d v="2025-08-07T00:00:00"/>
    <x v="3"/>
    <x v="5"/>
    <x v="1"/>
    <n v="2"/>
    <n v="55.46"/>
    <n v="0"/>
    <n v="110.92"/>
    <n v="80.180000000000007"/>
    <n v="30.74"/>
    <x v="7"/>
    <n v="0.27710000000000001"/>
  </r>
  <r>
    <s v="ORD0579"/>
    <d v="2025-03-25T00:00:00"/>
    <x v="1"/>
    <x v="0"/>
    <x v="0"/>
    <n v="6"/>
    <n v="212.12"/>
    <n v="0"/>
    <n v="1272.72"/>
    <n v="950.71"/>
    <n v="322.01"/>
    <x v="9"/>
    <n v="0.253"/>
  </r>
  <r>
    <s v="ORD0580"/>
    <d v="2025-07-26T00:00:00"/>
    <x v="1"/>
    <x v="0"/>
    <x v="0"/>
    <n v="2"/>
    <n v="305.68"/>
    <n v="0"/>
    <n v="611.36"/>
    <n v="496.18"/>
    <n v="115.18"/>
    <x v="2"/>
    <n v="0.18840000000000001"/>
  </r>
  <r>
    <s v="ORD0581"/>
    <d v="2025-04-10T00:00:00"/>
    <x v="1"/>
    <x v="4"/>
    <x v="0"/>
    <n v="1"/>
    <n v="359.06"/>
    <n v="0.05"/>
    <n v="341.11"/>
    <n v="223.46"/>
    <n v="117.65"/>
    <x v="0"/>
    <n v="0.34489999999999998"/>
  </r>
  <r>
    <s v="ORD0582"/>
    <d v="2025-09-23T00:00:00"/>
    <x v="3"/>
    <x v="5"/>
    <x v="1"/>
    <n v="2"/>
    <n v="66.56"/>
    <n v="0.15"/>
    <n v="113.15"/>
    <n v="68.5"/>
    <n v="44.65"/>
    <x v="6"/>
    <n v="0.39460000000000001"/>
  </r>
  <r>
    <s v="ORD0583"/>
    <d v="2025-10-05T00:00:00"/>
    <x v="2"/>
    <x v="0"/>
    <x v="0"/>
    <n v="3"/>
    <n v="526.16999999999996"/>
    <n v="0.1"/>
    <n v="1420.66"/>
    <n v="893.07"/>
    <n v="527.59"/>
    <x v="10"/>
    <n v="0.37140000000000001"/>
  </r>
  <r>
    <s v="ORD0584"/>
    <d v="2025-03-09T00:00:00"/>
    <x v="1"/>
    <x v="4"/>
    <x v="0"/>
    <n v="6"/>
    <n v="350.83"/>
    <n v="0"/>
    <n v="2104.98"/>
    <n v="1228.67"/>
    <n v="876.31"/>
    <x v="9"/>
    <n v="0.4163"/>
  </r>
  <r>
    <s v="ORD0585"/>
    <d v="2025-08-25T00:00:00"/>
    <x v="0"/>
    <x v="6"/>
    <x v="0"/>
    <n v="1"/>
    <n v="842.67"/>
    <n v="0.15"/>
    <n v="716.27"/>
    <n v="484.03"/>
    <n v="232.24"/>
    <x v="7"/>
    <n v="0.32419999999999999"/>
  </r>
  <r>
    <s v="ORD0586"/>
    <d v="2025-02-23T00:00:00"/>
    <x v="0"/>
    <x v="4"/>
    <x v="0"/>
    <n v="6"/>
    <n v="442.87"/>
    <n v="0"/>
    <n v="2657.22"/>
    <n v="1546.49"/>
    <n v="1110.73"/>
    <x v="3"/>
    <n v="0.41799999999999998"/>
  </r>
  <r>
    <s v="ORD0587"/>
    <d v="2025-09-28T00:00:00"/>
    <x v="2"/>
    <x v="1"/>
    <x v="1"/>
    <n v="4"/>
    <n v="96.1"/>
    <n v="0.15"/>
    <n v="326.74"/>
    <n v="223.54"/>
    <n v="103.2"/>
    <x v="6"/>
    <n v="0.31580000000000003"/>
  </r>
  <r>
    <s v="ORD0588"/>
    <d v="2025-09-30T00:00:00"/>
    <x v="1"/>
    <x v="3"/>
    <x v="1"/>
    <n v="3"/>
    <n v="168.84"/>
    <n v="0"/>
    <n v="506.52"/>
    <n v="365.44"/>
    <n v="141.08000000000001"/>
    <x v="6"/>
    <n v="0.27850000000000003"/>
  </r>
  <r>
    <s v="ORD0589"/>
    <d v="2025-09-02T00:00:00"/>
    <x v="1"/>
    <x v="6"/>
    <x v="0"/>
    <n v="1"/>
    <n v="707.31"/>
    <n v="0.1"/>
    <n v="636.58000000000004"/>
    <n v="383.18"/>
    <n v="253.4"/>
    <x v="6"/>
    <n v="0.39810000000000001"/>
  </r>
  <r>
    <s v="ORD0590"/>
    <d v="2025-03-10T00:00:00"/>
    <x v="1"/>
    <x v="0"/>
    <x v="0"/>
    <n v="4"/>
    <n v="186.46"/>
    <n v="0"/>
    <n v="745.84"/>
    <n v="470.97"/>
    <n v="274.87"/>
    <x v="9"/>
    <n v="0.36849999999999999"/>
  </r>
  <r>
    <s v="ORD0591"/>
    <d v="2025-11-10T00:00:00"/>
    <x v="3"/>
    <x v="7"/>
    <x v="0"/>
    <n v="2"/>
    <n v="106.26"/>
    <n v="0.05"/>
    <n v="201.89"/>
    <n v="152.6"/>
    <n v="49.29"/>
    <x v="5"/>
    <n v="0.24410000000000001"/>
  </r>
  <r>
    <s v="ORD0592"/>
    <d v="2025-05-07T00:00:00"/>
    <x v="1"/>
    <x v="1"/>
    <x v="1"/>
    <n v="2"/>
    <n v="60.36"/>
    <n v="0"/>
    <n v="120.72"/>
    <n v="95.66"/>
    <n v="25.06"/>
    <x v="4"/>
    <n v="0.20760000000000001"/>
  </r>
  <r>
    <s v="ORD0593"/>
    <d v="2025-12-24T00:00:00"/>
    <x v="3"/>
    <x v="5"/>
    <x v="1"/>
    <n v="3"/>
    <n v="29.85"/>
    <n v="0.1"/>
    <n v="80.599999999999994"/>
    <n v="54.44"/>
    <n v="26.16"/>
    <x v="8"/>
    <n v="0.3246"/>
  </r>
  <r>
    <s v="ORD0594"/>
    <d v="2025-03-14T00:00:00"/>
    <x v="3"/>
    <x v="0"/>
    <x v="0"/>
    <n v="3"/>
    <n v="425.08"/>
    <n v="0"/>
    <n v="1275.24"/>
    <n v="853.22"/>
    <n v="422.02"/>
    <x v="9"/>
    <n v="0.33090000000000003"/>
  </r>
  <r>
    <s v="ORD0595"/>
    <d v="2025-07-01T00:00:00"/>
    <x v="3"/>
    <x v="2"/>
    <x v="1"/>
    <n v="3"/>
    <n v="99.98"/>
    <n v="0"/>
    <n v="299.94"/>
    <n v="200.49"/>
    <n v="99.45"/>
    <x v="2"/>
    <n v="0.33160000000000001"/>
  </r>
  <r>
    <s v="ORD0596"/>
    <d v="2025-12-29T00:00:00"/>
    <x v="1"/>
    <x v="6"/>
    <x v="0"/>
    <n v="2"/>
    <n v="1061.8"/>
    <n v="0.05"/>
    <n v="2017.42"/>
    <n v="1475.26"/>
    <n v="542.16"/>
    <x v="8"/>
    <n v="0.26869999999999999"/>
  </r>
  <r>
    <s v="ORD0597"/>
    <d v="2025-02-06T00:00:00"/>
    <x v="1"/>
    <x v="5"/>
    <x v="1"/>
    <n v="6"/>
    <n v="38.94"/>
    <n v="0"/>
    <n v="233.64"/>
    <n v="171.92"/>
    <n v="61.72"/>
    <x v="3"/>
    <n v="0.26419999999999999"/>
  </r>
  <r>
    <s v="ORD0598"/>
    <d v="2025-07-04T00:00:00"/>
    <x v="3"/>
    <x v="5"/>
    <x v="1"/>
    <n v="2"/>
    <n v="63.96"/>
    <n v="0"/>
    <n v="127.92"/>
    <n v="87.82"/>
    <n v="40.1"/>
    <x v="2"/>
    <n v="0.3135"/>
  </r>
  <r>
    <s v="ORD0599"/>
    <d v="2025-11-20T00:00:00"/>
    <x v="2"/>
    <x v="5"/>
    <x v="1"/>
    <n v="6"/>
    <n v="43.67"/>
    <n v="0"/>
    <n v="262.02"/>
    <n v="182.85"/>
    <n v="79.17"/>
    <x v="5"/>
    <n v="0.30220000000000002"/>
  </r>
  <r>
    <s v="ORD0600"/>
    <d v="2025-04-12T00:00:00"/>
    <x v="0"/>
    <x v="0"/>
    <x v="0"/>
    <n v="1"/>
    <n v="539.29"/>
    <n v="0"/>
    <n v="539.29"/>
    <n v="397.59"/>
    <n v="141.69999999999999"/>
    <x v="0"/>
    <n v="0.26279999999999998"/>
  </r>
  <r>
    <s v="ORD0601"/>
    <d v="2025-04-19T00:00:00"/>
    <x v="1"/>
    <x v="3"/>
    <x v="1"/>
    <n v="5"/>
    <n v="48.04"/>
    <n v="0"/>
    <n v="240.2"/>
    <n v="177.61"/>
    <n v="62.59"/>
    <x v="0"/>
    <n v="0.2606"/>
  </r>
  <r>
    <s v="ORD0602"/>
    <d v="2025-10-10T00:00:00"/>
    <x v="2"/>
    <x v="5"/>
    <x v="1"/>
    <n v="3"/>
    <n v="18.96"/>
    <n v="0"/>
    <n v="56.88"/>
    <n v="37.22"/>
    <n v="19.66"/>
    <x v="10"/>
    <n v="0.34560000000000002"/>
  </r>
  <r>
    <s v="ORD0603"/>
    <d v="2025-12-10T00:00:00"/>
    <x v="3"/>
    <x v="4"/>
    <x v="0"/>
    <n v="7"/>
    <n v="219.01"/>
    <n v="0.1"/>
    <n v="1379.76"/>
    <n v="825.64"/>
    <n v="554.12"/>
    <x v="8"/>
    <n v="0.40160000000000001"/>
  </r>
  <r>
    <s v="ORD0604"/>
    <d v="2025-04-20T00:00:00"/>
    <x v="0"/>
    <x v="3"/>
    <x v="1"/>
    <n v="7"/>
    <n v="74.97"/>
    <n v="0.1"/>
    <n v="472.31"/>
    <n v="363.08"/>
    <n v="109.23"/>
    <x v="0"/>
    <n v="0.23130000000000001"/>
  </r>
  <r>
    <s v="ORD0605"/>
    <d v="2025-11-13T00:00:00"/>
    <x v="3"/>
    <x v="6"/>
    <x v="0"/>
    <n v="2"/>
    <n v="726.47"/>
    <n v="0"/>
    <n v="1452.94"/>
    <n v="953.81"/>
    <n v="499.13"/>
    <x v="5"/>
    <n v="0.34350000000000003"/>
  </r>
  <r>
    <s v="ORD0606"/>
    <d v="2025-09-18T00:00:00"/>
    <x v="0"/>
    <x v="2"/>
    <x v="1"/>
    <n v="3"/>
    <n v="137.75"/>
    <n v="0"/>
    <n v="413.25"/>
    <n v="291.42"/>
    <n v="121.83"/>
    <x v="6"/>
    <n v="0.29480000000000001"/>
  </r>
  <r>
    <s v="ORD0607"/>
    <d v="2025-08-02T00:00:00"/>
    <x v="3"/>
    <x v="0"/>
    <x v="0"/>
    <n v="1"/>
    <n v="342.05"/>
    <n v="0.05"/>
    <n v="324.95"/>
    <n v="220.8"/>
    <n v="104.15"/>
    <x v="7"/>
    <n v="0.32050000000000001"/>
  </r>
  <r>
    <s v="ORD0608"/>
    <d v="2025-04-22T00:00:00"/>
    <x v="1"/>
    <x v="3"/>
    <x v="1"/>
    <n v="7"/>
    <n v="159.62"/>
    <n v="0"/>
    <n v="1117.3399999999999"/>
    <n v="834.15"/>
    <n v="283.19"/>
    <x v="0"/>
    <n v="0.2535"/>
  </r>
  <r>
    <s v="ORD0609"/>
    <d v="2025-04-18T00:00:00"/>
    <x v="0"/>
    <x v="3"/>
    <x v="1"/>
    <n v="1"/>
    <n v="172.02"/>
    <n v="0.1"/>
    <n v="154.82"/>
    <n v="109.56"/>
    <n v="45.26"/>
    <x v="0"/>
    <n v="0.2923"/>
  </r>
  <r>
    <s v="ORD0610"/>
    <d v="2025-05-02T00:00:00"/>
    <x v="0"/>
    <x v="2"/>
    <x v="1"/>
    <n v="6"/>
    <n v="100.38"/>
    <n v="0"/>
    <n v="602.28"/>
    <n v="409.19"/>
    <n v="193.09"/>
    <x v="4"/>
    <n v="0.3206"/>
  </r>
  <r>
    <s v="ORD0611"/>
    <d v="2025-01-11T00:00:00"/>
    <x v="0"/>
    <x v="0"/>
    <x v="0"/>
    <n v="4"/>
    <n v="453.61"/>
    <n v="0"/>
    <n v="1814.44"/>
    <n v="1144.6500000000001"/>
    <n v="669.79"/>
    <x v="11"/>
    <n v="0.36909999999999998"/>
  </r>
  <r>
    <s v="ORD0612"/>
    <d v="2025-06-01T00:00:00"/>
    <x v="2"/>
    <x v="0"/>
    <x v="0"/>
    <n v="7"/>
    <n v="294.55"/>
    <n v="0"/>
    <n v="2061.85"/>
    <n v="1361.98"/>
    <n v="699.87"/>
    <x v="1"/>
    <n v="0.33939999999999998"/>
  </r>
  <r>
    <s v="ORD0613"/>
    <d v="2025-07-14T00:00:00"/>
    <x v="0"/>
    <x v="1"/>
    <x v="1"/>
    <n v="5"/>
    <n v="64.400000000000006"/>
    <n v="0.1"/>
    <n v="289.8"/>
    <n v="228.7"/>
    <n v="61.1"/>
    <x v="2"/>
    <n v="0.21079999999999999"/>
  </r>
  <r>
    <s v="ORD0614"/>
    <d v="2025-05-21T00:00:00"/>
    <x v="0"/>
    <x v="7"/>
    <x v="0"/>
    <n v="7"/>
    <n v="285.93"/>
    <n v="0"/>
    <n v="2001.51"/>
    <n v="1318.22"/>
    <n v="683.29"/>
    <x v="4"/>
    <n v="0.34139999999999998"/>
  </r>
  <r>
    <s v="ORD0615"/>
    <d v="2025-09-02T00:00:00"/>
    <x v="2"/>
    <x v="6"/>
    <x v="0"/>
    <n v="2"/>
    <n v="564.39"/>
    <n v="0.15"/>
    <n v="959.46"/>
    <n v="716.9"/>
    <n v="242.56"/>
    <x v="6"/>
    <n v="0.25280000000000002"/>
  </r>
  <r>
    <s v="ORD0616"/>
    <d v="2025-09-26T00:00:00"/>
    <x v="3"/>
    <x v="3"/>
    <x v="1"/>
    <n v="5"/>
    <n v="116.23"/>
    <n v="0.15"/>
    <n v="493.98"/>
    <n v="347.24"/>
    <n v="146.74"/>
    <x v="6"/>
    <n v="0.29709999999999998"/>
  </r>
  <r>
    <s v="ORD0617"/>
    <d v="2025-07-12T00:00:00"/>
    <x v="3"/>
    <x v="4"/>
    <x v="0"/>
    <n v="1"/>
    <n v="350.46"/>
    <n v="0.1"/>
    <n v="315.41000000000003"/>
    <n v="254.96"/>
    <n v="60.45"/>
    <x v="2"/>
    <n v="0.19170000000000001"/>
  </r>
  <r>
    <s v="ORD0618"/>
    <d v="2025-01-29T00:00:00"/>
    <x v="3"/>
    <x v="2"/>
    <x v="1"/>
    <n v="1"/>
    <n v="141.44999999999999"/>
    <n v="0.05"/>
    <n v="134.38"/>
    <n v="91.1"/>
    <n v="43.28"/>
    <x v="11"/>
    <n v="0.3221"/>
  </r>
  <r>
    <s v="ORD0619"/>
    <d v="2025-04-30T00:00:00"/>
    <x v="2"/>
    <x v="1"/>
    <x v="1"/>
    <n v="2"/>
    <n v="49.06"/>
    <n v="0"/>
    <n v="98.12"/>
    <n v="73.95"/>
    <n v="24.17"/>
    <x v="0"/>
    <n v="0.24629999999999999"/>
  </r>
  <r>
    <s v="ORD0620"/>
    <d v="2025-04-28T00:00:00"/>
    <x v="3"/>
    <x v="6"/>
    <x v="0"/>
    <n v="5"/>
    <n v="1083.9000000000001"/>
    <n v="0.1"/>
    <n v="4877.55"/>
    <n v="3396.84"/>
    <n v="1480.71"/>
    <x v="0"/>
    <n v="0.30359999999999998"/>
  </r>
  <r>
    <s v="ORD0621"/>
    <d v="2025-09-28T00:00:00"/>
    <x v="1"/>
    <x v="0"/>
    <x v="0"/>
    <n v="6"/>
    <n v="419.96"/>
    <n v="0.1"/>
    <n v="2267.7800000000002"/>
    <n v="1535.51"/>
    <n v="732.27"/>
    <x v="6"/>
    <n v="0.32290000000000002"/>
  </r>
  <r>
    <s v="ORD0622"/>
    <d v="2025-02-17T00:00:00"/>
    <x v="0"/>
    <x v="1"/>
    <x v="1"/>
    <n v="5"/>
    <n v="63.93"/>
    <n v="0.05"/>
    <n v="303.67"/>
    <n v="177.26"/>
    <n v="126.41"/>
    <x v="3"/>
    <n v="0.4163"/>
  </r>
  <r>
    <s v="ORD0623"/>
    <d v="2025-12-01T00:00:00"/>
    <x v="2"/>
    <x v="7"/>
    <x v="0"/>
    <n v="6"/>
    <n v="214.61"/>
    <n v="0"/>
    <n v="1287.6600000000001"/>
    <n v="976.48"/>
    <n v="311.18"/>
    <x v="8"/>
    <n v="0.2417"/>
  </r>
  <r>
    <s v="ORD0624"/>
    <d v="2025-12-01T00:00:00"/>
    <x v="2"/>
    <x v="5"/>
    <x v="1"/>
    <n v="1"/>
    <n v="73.849999999999994"/>
    <n v="0.05"/>
    <n v="70.16"/>
    <n v="49.34"/>
    <n v="20.82"/>
    <x v="8"/>
    <n v="0.29680000000000001"/>
  </r>
  <r>
    <s v="ORD0625"/>
    <d v="2025-07-01T00:00:00"/>
    <x v="0"/>
    <x v="7"/>
    <x v="0"/>
    <n v="5"/>
    <n v="235.36"/>
    <n v="0"/>
    <n v="1176.8"/>
    <n v="744.71"/>
    <n v="432.09"/>
    <x v="2"/>
    <n v="0.36720000000000003"/>
  </r>
  <r>
    <s v="ORD0626"/>
    <d v="2025-11-27T00:00:00"/>
    <x v="0"/>
    <x v="7"/>
    <x v="0"/>
    <n v="3"/>
    <n v="273.72000000000003"/>
    <n v="0"/>
    <n v="821.16"/>
    <n v="549.09"/>
    <n v="272.07"/>
    <x v="5"/>
    <n v="0.33129999999999998"/>
  </r>
  <r>
    <s v="ORD0627"/>
    <d v="2025-09-13T00:00:00"/>
    <x v="3"/>
    <x v="0"/>
    <x v="0"/>
    <n v="3"/>
    <n v="616.77"/>
    <n v="0"/>
    <n v="1850.31"/>
    <n v="1442.37"/>
    <n v="407.94"/>
    <x v="6"/>
    <n v="0.2205"/>
  </r>
  <r>
    <s v="ORD0628"/>
    <d v="2025-02-17T00:00:00"/>
    <x v="3"/>
    <x v="6"/>
    <x v="0"/>
    <n v="4"/>
    <n v="960.79"/>
    <n v="0"/>
    <n v="3843.16"/>
    <n v="2324.66"/>
    <n v="1518.5"/>
    <x v="3"/>
    <n v="0.39510000000000001"/>
  </r>
  <r>
    <s v="ORD0629"/>
    <d v="2025-10-22T00:00:00"/>
    <x v="2"/>
    <x v="5"/>
    <x v="1"/>
    <n v="1"/>
    <n v="48.77"/>
    <n v="0.1"/>
    <n v="43.89"/>
    <n v="33.369999999999997"/>
    <n v="10.52"/>
    <x v="10"/>
    <n v="0.2397"/>
  </r>
  <r>
    <s v="ORD0630"/>
    <d v="2025-01-29T00:00:00"/>
    <x v="1"/>
    <x v="4"/>
    <x v="0"/>
    <n v="4"/>
    <n v="183.5"/>
    <n v="0.05"/>
    <n v="697.3"/>
    <n v="508.27"/>
    <n v="189.03"/>
    <x v="11"/>
    <n v="0.27110000000000001"/>
  </r>
  <r>
    <s v="ORD0631"/>
    <d v="2025-08-03T00:00:00"/>
    <x v="1"/>
    <x v="0"/>
    <x v="0"/>
    <n v="4"/>
    <n v="271.64"/>
    <n v="0.1"/>
    <n v="977.9"/>
    <n v="743.2"/>
    <n v="234.7"/>
    <x v="7"/>
    <n v="0.24"/>
  </r>
  <r>
    <s v="ORD0632"/>
    <d v="2025-03-03T00:00:00"/>
    <x v="0"/>
    <x v="1"/>
    <x v="1"/>
    <n v="5"/>
    <n v="87.14"/>
    <n v="0.1"/>
    <n v="392.13"/>
    <n v="281.91000000000003"/>
    <n v="110.22"/>
    <x v="9"/>
    <n v="0.28110000000000002"/>
  </r>
  <r>
    <s v="ORD0633"/>
    <d v="2025-04-14T00:00:00"/>
    <x v="1"/>
    <x v="5"/>
    <x v="1"/>
    <n v="2"/>
    <n v="38.14"/>
    <n v="0.1"/>
    <n v="68.650000000000006"/>
    <n v="46.18"/>
    <n v="22.47"/>
    <x v="0"/>
    <n v="0.32729999999999998"/>
  </r>
  <r>
    <s v="ORD0634"/>
    <d v="2025-10-27T00:00:00"/>
    <x v="1"/>
    <x v="6"/>
    <x v="0"/>
    <n v="5"/>
    <n v="689.69"/>
    <n v="0"/>
    <n v="3448.45"/>
    <n v="2751.45"/>
    <n v="697"/>
    <x v="10"/>
    <n v="0.2021"/>
  </r>
  <r>
    <s v="ORD0635"/>
    <d v="2025-10-06T00:00:00"/>
    <x v="0"/>
    <x v="0"/>
    <x v="0"/>
    <n v="1"/>
    <n v="454.79"/>
    <n v="0"/>
    <n v="454.79"/>
    <n v="312.23"/>
    <n v="142.56"/>
    <x v="10"/>
    <n v="0.3135"/>
  </r>
  <r>
    <s v="ORD0636"/>
    <d v="2025-06-15T00:00:00"/>
    <x v="1"/>
    <x v="2"/>
    <x v="1"/>
    <n v="1"/>
    <n v="65.349999999999994"/>
    <n v="0.05"/>
    <n v="62.08"/>
    <n v="39.94"/>
    <n v="22.14"/>
    <x v="1"/>
    <n v="0.35659999999999997"/>
  </r>
  <r>
    <s v="ORD0637"/>
    <d v="2025-04-20T00:00:00"/>
    <x v="3"/>
    <x v="2"/>
    <x v="1"/>
    <n v="5"/>
    <n v="72.19"/>
    <n v="0"/>
    <n v="360.95"/>
    <n v="225.89"/>
    <n v="135.06"/>
    <x v="0"/>
    <n v="0.37419999999999998"/>
  </r>
  <r>
    <s v="ORD0638"/>
    <d v="2025-07-26T00:00:00"/>
    <x v="2"/>
    <x v="1"/>
    <x v="1"/>
    <n v="4"/>
    <n v="103.26"/>
    <n v="0"/>
    <n v="413.04"/>
    <n v="316.57"/>
    <n v="96.47"/>
    <x v="2"/>
    <n v="0.2336"/>
  </r>
  <r>
    <s v="ORD0639"/>
    <d v="2025-12-06T00:00:00"/>
    <x v="2"/>
    <x v="7"/>
    <x v="0"/>
    <n v="7"/>
    <n v="345.66"/>
    <n v="0.1"/>
    <n v="2177.66"/>
    <n v="1667.39"/>
    <n v="510.27"/>
    <x v="8"/>
    <n v="0.23430000000000001"/>
  </r>
  <r>
    <s v="ORD0640"/>
    <d v="2025-04-06T00:00:00"/>
    <x v="1"/>
    <x v="6"/>
    <x v="0"/>
    <n v="4"/>
    <n v="691.2"/>
    <n v="0.05"/>
    <n v="2626.56"/>
    <n v="1689.83"/>
    <n v="936.73"/>
    <x v="0"/>
    <n v="0.35659999999999997"/>
  </r>
  <r>
    <s v="ORD0641"/>
    <d v="2025-08-05T00:00:00"/>
    <x v="2"/>
    <x v="0"/>
    <x v="0"/>
    <n v="5"/>
    <n v="476.12"/>
    <n v="0.1"/>
    <n v="2142.54"/>
    <n v="1645.7"/>
    <n v="496.84"/>
    <x v="7"/>
    <n v="0.2319"/>
  </r>
  <r>
    <s v="ORD0642"/>
    <d v="2025-03-18T00:00:00"/>
    <x v="0"/>
    <x v="2"/>
    <x v="1"/>
    <n v="3"/>
    <n v="96.85"/>
    <n v="0.1"/>
    <n v="261.49"/>
    <n v="179.05"/>
    <n v="82.44"/>
    <x v="9"/>
    <n v="0.31530000000000002"/>
  </r>
  <r>
    <s v="ORD0643"/>
    <d v="2025-02-07T00:00:00"/>
    <x v="2"/>
    <x v="4"/>
    <x v="0"/>
    <n v="2"/>
    <n v="371.88"/>
    <n v="0.1"/>
    <n v="669.38"/>
    <n v="501.79"/>
    <n v="167.59"/>
    <x v="3"/>
    <n v="0.25040000000000001"/>
  </r>
  <r>
    <s v="ORD0644"/>
    <d v="2025-03-02T00:00:00"/>
    <x v="0"/>
    <x v="1"/>
    <x v="1"/>
    <n v="4"/>
    <n v="110.79"/>
    <n v="0.15"/>
    <n v="376.69"/>
    <n v="290.93"/>
    <n v="85.76"/>
    <x v="9"/>
    <n v="0.22770000000000001"/>
  </r>
  <r>
    <s v="ORD0645"/>
    <d v="2025-09-26T00:00:00"/>
    <x v="3"/>
    <x v="1"/>
    <x v="1"/>
    <n v="5"/>
    <n v="69.25"/>
    <n v="0.05"/>
    <n v="328.94"/>
    <n v="214.79"/>
    <n v="114.15"/>
    <x v="6"/>
    <n v="0.34699999999999998"/>
  </r>
  <r>
    <s v="ORD0646"/>
    <d v="2025-10-31T00:00:00"/>
    <x v="3"/>
    <x v="1"/>
    <x v="1"/>
    <n v="4"/>
    <n v="109.71"/>
    <n v="0.1"/>
    <n v="394.96"/>
    <n v="267.56"/>
    <n v="127.4"/>
    <x v="10"/>
    <n v="0.3226"/>
  </r>
  <r>
    <s v="ORD0647"/>
    <d v="2025-12-22T00:00:00"/>
    <x v="2"/>
    <x v="1"/>
    <x v="1"/>
    <n v="6"/>
    <n v="26.37"/>
    <n v="0.1"/>
    <n v="142.4"/>
    <n v="103.91"/>
    <n v="38.49"/>
    <x v="8"/>
    <n v="0.27029999999999998"/>
  </r>
  <r>
    <s v="ORD0648"/>
    <d v="2025-07-16T00:00:00"/>
    <x v="3"/>
    <x v="0"/>
    <x v="0"/>
    <n v="7"/>
    <n v="420.47"/>
    <n v="0"/>
    <n v="2943.29"/>
    <n v="2369.9899999999998"/>
    <n v="573.29999999999995"/>
    <x v="2"/>
    <n v="0.1948"/>
  </r>
  <r>
    <s v="ORD0649"/>
    <d v="2025-01-19T00:00:00"/>
    <x v="1"/>
    <x v="3"/>
    <x v="1"/>
    <n v="2"/>
    <n v="107.26"/>
    <n v="0"/>
    <n v="214.52"/>
    <n v="157.29"/>
    <n v="57.23"/>
    <x v="11"/>
    <n v="0.26679999999999998"/>
  </r>
  <r>
    <s v="ORD0650"/>
    <d v="2025-12-09T00:00:00"/>
    <x v="2"/>
    <x v="4"/>
    <x v="0"/>
    <n v="2"/>
    <n v="182.92"/>
    <n v="0.05"/>
    <n v="347.55"/>
    <n v="249.08"/>
    <n v="98.47"/>
    <x v="8"/>
    <n v="0.2833"/>
  </r>
  <r>
    <s v="ORD0651"/>
    <d v="2025-02-20T00:00:00"/>
    <x v="3"/>
    <x v="1"/>
    <x v="1"/>
    <n v="6"/>
    <n v="60.29"/>
    <n v="0.05"/>
    <n v="343.65"/>
    <n v="251.53"/>
    <n v="92.12"/>
    <x v="3"/>
    <n v="0.2681"/>
  </r>
  <r>
    <s v="ORD0652"/>
    <d v="2025-01-14T00:00:00"/>
    <x v="1"/>
    <x v="5"/>
    <x v="1"/>
    <n v="2"/>
    <n v="52.92"/>
    <n v="0.1"/>
    <n v="95.26"/>
    <n v="71.599999999999994"/>
    <n v="23.66"/>
    <x v="11"/>
    <n v="0.24840000000000001"/>
  </r>
  <r>
    <s v="ORD0653"/>
    <d v="2025-03-16T00:00:00"/>
    <x v="3"/>
    <x v="7"/>
    <x v="0"/>
    <n v="3"/>
    <n v="306.54000000000002"/>
    <n v="0"/>
    <n v="919.62"/>
    <n v="723.99"/>
    <n v="195.63"/>
    <x v="9"/>
    <n v="0.2127"/>
  </r>
  <r>
    <s v="ORD0654"/>
    <d v="2025-07-01T00:00:00"/>
    <x v="0"/>
    <x v="5"/>
    <x v="1"/>
    <n v="5"/>
    <n v="15.43"/>
    <n v="0.05"/>
    <n v="73.290000000000006"/>
    <n v="59.64"/>
    <n v="13.65"/>
    <x v="2"/>
    <n v="0.1862"/>
  </r>
  <r>
    <s v="ORD0655"/>
    <d v="2025-04-14T00:00:00"/>
    <x v="2"/>
    <x v="2"/>
    <x v="1"/>
    <n v="3"/>
    <n v="127.21"/>
    <n v="0.1"/>
    <n v="343.47"/>
    <n v="233.33"/>
    <n v="110.14"/>
    <x v="0"/>
    <n v="0.32069999999999999"/>
  </r>
  <r>
    <s v="ORD0656"/>
    <d v="2025-04-22T00:00:00"/>
    <x v="3"/>
    <x v="2"/>
    <x v="1"/>
    <n v="6"/>
    <n v="105.36"/>
    <n v="0.05"/>
    <n v="600.54999999999995"/>
    <n v="485.06"/>
    <n v="115.49"/>
    <x v="0"/>
    <n v="0.1923"/>
  </r>
  <r>
    <s v="ORD0657"/>
    <d v="2025-08-10T00:00:00"/>
    <x v="0"/>
    <x v="0"/>
    <x v="0"/>
    <n v="3"/>
    <n v="508.83"/>
    <n v="0.1"/>
    <n v="1373.84"/>
    <n v="1061.53"/>
    <n v="312.31"/>
    <x v="7"/>
    <n v="0.2273"/>
  </r>
  <r>
    <s v="ORD0658"/>
    <d v="2025-10-20T00:00:00"/>
    <x v="3"/>
    <x v="1"/>
    <x v="1"/>
    <n v="4"/>
    <n v="71.41"/>
    <n v="0"/>
    <n v="285.64"/>
    <n v="176.21"/>
    <n v="109.43"/>
    <x v="10"/>
    <n v="0.3831"/>
  </r>
  <r>
    <s v="ORD0659"/>
    <d v="2025-10-26T00:00:00"/>
    <x v="0"/>
    <x v="2"/>
    <x v="1"/>
    <n v="2"/>
    <n v="149.77000000000001"/>
    <n v="0.05"/>
    <n v="284.56"/>
    <n v="205.53"/>
    <n v="79.03"/>
    <x v="10"/>
    <n v="0.2777"/>
  </r>
  <r>
    <s v="ORD0660"/>
    <d v="2025-04-26T00:00:00"/>
    <x v="1"/>
    <x v="5"/>
    <x v="1"/>
    <n v="5"/>
    <n v="38.67"/>
    <n v="0"/>
    <n v="193.35"/>
    <n v="140.30000000000001"/>
    <n v="53.05"/>
    <x v="0"/>
    <n v="0.27439999999999998"/>
  </r>
  <r>
    <s v="ORD0661"/>
    <d v="2025-08-27T00:00:00"/>
    <x v="2"/>
    <x v="7"/>
    <x v="0"/>
    <n v="6"/>
    <n v="261.35000000000002"/>
    <n v="0"/>
    <n v="1568.1"/>
    <n v="1234.28"/>
    <n v="333.82"/>
    <x v="7"/>
    <n v="0.21290000000000001"/>
  </r>
  <r>
    <s v="ORD0662"/>
    <d v="2025-06-28T00:00:00"/>
    <x v="2"/>
    <x v="7"/>
    <x v="0"/>
    <n v="3"/>
    <n v="281.73"/>
    <n v="0"/>
    <n v="845.19"/>
    <n v="653.02"/>
    <n v="192.17"/>
    <x v="1"/>
    <n v="0.22739999999999999"/>
  </r>
  <r>
    <s v="ORD0663"/>
    <d v="2025-07-26T00:00:00"/>
    <x v="1"/>
    <x v="3"/>
    <x v="1"/>
    <n v="2"/>
    <n v="162.87"/>
    <n v="0.05"/>
    <n v="309.45"/>
    <n v="225.45"/>
    <n v="84"/>
    <x v="2"/>
    <n v="0.27139999999999997"/>
  </r>
  <r>
    <s v="ORD0664"/>
    <d v="2025-09-25T00:00:00"/>
    <x v="3"/>
    <x v="3"/>
    <x v="1"/>
    <n v="6"/>
    <n v="58.67"/>
    <n v="0"/>
    <n v="352.02"/>
    <n v="240.96"/>
    <n v="111.06"/>
    <x v="6"/>
    <n v="0.3155"/>
  </r>
  <r>
    <s v="ORD0665"/>
    <d v="2025-03-12T00:00:00"/>
    <x v="2"/>
    <x v="6"/>
    <x v="0"/>
    <n v="2"/>
    <n v="1159.68"/>
    <n v="0"/>
    <n v="2319.36"/>
    <n v="1559.87"/>
    <n v="759.49"/>
    <x v="9"/>
    <n v="0.32750000000000001"/>
  </r>
  <r>
    <s v="ORD0666"/>
    <d v="2025-02-21T00:00:00"/>
    <x v="1"/>
    <x v="4"/>
    <x v="0"/>
    <n v="2"/>
    <n v="287.23"/>
    <n v="0"/>
    <n v="574.46"/>
    <n v="463.11"/>
    <n v="111.35"/>
    <x v="3"/>
    <n v="0.1938"/>
  </r>
  <r>
    <s v="ORD0667"/>
    <d v="2025-10-23T00:00:00"/>
    <x v="2"/>
    <x v="3"/>
    <x v="1"/>
    <n v="4"/>
    <n v="215.02"/>
    <n v="0.1"/>
    <n v="774.07"/>
    <n v="628.75"/>
    <n v="145.32"/>
    <x v="10"/>
    <n v="0.18770000000000001"/>
  </r>
  <r>
    <s v="ORD0668"/>
    <d v="2025-12-16T00:00:00"/>
    <x v="2"/>
    <x v="7"/>
    <x v="0"/>
    <n v="7"/>
    <n v="297.56"/>
    <n v="0"/>
    <n v="2082.92"/>
    <n v="1357.76"/>
    <n v="725.16"/>
    <x v="8"/>
    <n v="0.34810000000000002"/>
  </r>
  <r>
    <s v="ORD0669"/>
    <d v="2025-02-05T00:00:00"/>
    <x v="3"/>
    <x v="5"/>
    <x v="1"/>
    <n v="2"/>
    <n v="28.16"/>
    <n v="0"/>
    <n v="56.32"/>
    <n v="41.78"/>
    <n v="14.54"/>
    <x v="3"/>
    <n v="0.25819999999999999"/>
  </r>
  <r>
    <s v="ORD0670"/>
    <d v="2025-12-10T00:00:00"/>
    <x v="1"/>
    <x v="4"/>
    <x v="0"/>
    <n v="6"/>
    <n v="418.45"/>
    <n v="0.1"/>
    <n v="2259.63"/>
    <n v="1352.06"/>
    <n v="907.57"/>
    <x v="8"/>
    <n v="0.40160000000000001"/>
  </r>
  <r>
    <s v="ORD0671"/>
    <d v="2025-10-29T00:00:00"/>
    <x v="2"/>
    <x v="7"/>
    <x v="0"/>
    <n v="7"/>
    <n v="115.63"/>
    <n v="0.1"/>
    <n v="728.47"/>
    <n v="546.05999999999995"/>
    <n v="182.41"/>
    <x v="10"/>
    <n v="0.25040000000000001"/>
  </r>
  <r>
    <s v="ORD0672"/>
    <d v="2025-12-21T00:00:00"/>
    <x v="2"/>
    <x v="2"/>
    <x v="1"/>
    <n v="5"/>
    <n v="92.2"/>
    <n v="0.1"/>
    <n v="414.9"/>
    <n v="270.88"/>
    <n v="144.02000000000001"/>
    <x v="8"/>
    <n v="0.34710000000000002"/>
  </r>
  <r>
    <s v="ORD0673"/>
    <d v="2025-11-09T00:00:00"/>
    <x v="1"/>
    <x v="7"/>
    <x v="0"/>
    <n v="4"/>
    <n v="216.84"/>
    <n v="0"/>
    <n v="867.36"/>
    <n v="598.74"/>
    <n v="268.62"/>
    <x v="5"/>
    <n v="0.30969999999999998"/>
  </r>
  <r>
    <s v="ORD0674"/>
    <d v="2025-06-25T00:00:00"/>
    <x v="0"/>
    <x v="4"/>
    <x v="0"/>
    <n v="5"/>
    <n v="269.77"/>
    <n v="0.05"/>
    <n v="1281.4100000000001"/>
    <n v="966.19"/>
    <n v="315.22000000000003"/>
    <x v="1"/>
    <n v="0.246"/>
  </r>
  <r>
    <s v="ORD0675"/>
    <d v="2025-11-15T00:00:00"/>
    <x v="1"/>
    <x v="1"/>
    <x v="1"/>
    <n v="4"/>
    <n v="98.82"/>
    <n v="0.1"/>
    <n v="355.75"/>
    <n v="233.13"/>
    <n v="122.62"/>
    <x v="5"/>
    <n v="0.34470000000000001"/>
  </r>
  <r>
    <s v="ORD0676"/>
    <d v="2025-08-07T00:00:00"/>
    <x v="3"/>
    <x v="0"/>
    <x v="0"/>
    <n v="5"/>
    <n v="645.04"/>
    <n v="0.1"/>
    <n v="2902.68"/>
    <n v="1942.33"/>
    <n v="960.35"/>
    <x v="7"/>
    <n v="0.33079999999999998"/>
  </r>
  <r>
    <s v="ORD0677"/>
    <d v="2025-07-30T00:00:00"/>
    <x v="2"/>
    <x v="4"/>
    <x v="0"/>
    <n v="5"/>
    <n v="369.91"/>
    <n v="0.05"/>
    <n v="1757.07"/>
    <n v="1222.8599999999999"/>
    <n v="534.21"/>
    <x v="2"/>
    <n v="0.30399999999999999"/>
  </r>
  <r>
    <s v="ORD0678"/>
    <d v="2025-07-15T00:00:00"/>
    <x v="1"/>
    <x v="0"/>
    <x v="0"/>
    <n v="1"/>
    <n v="584.1"/>
    <n v="0"/>
    <n v="584.1"/>
    <n v="384.79"/>
    <n v="199.31"/>
    <x v="2"/>
    <n v="0.3412"/>
  </r>
  <r>
    <s v="ORD0679"/>
    <d v="2025-03-18T00:00:00"/>
    <x v="3"/>
    <x v="6"/>
    <x v="0"/>
    <n v="6"/>
    <n v="1137.1400000000001"/>
    <n v="0.1"/>
    <n v="6140.56"/>
    <n v="4766.83"/>
    <n v="1373.73"/>
    <x v="9"/>
    <n v="0.22370000000000001"/>
  </r>
  <r>
    <s v="ORD0680"/>
    <d v="2025-03-13T00:00:00"/>
    <x v="3"/>
    <x v="5"/>
    <x v="1"/>
    <n v="2"/>
    <n v="66.790000000000006"/>
    <n v="0"/>
    <n v="133.58000000000001"/>
    <n v="108.58"/>
    <n v="25"/>
    <x v="9"/>
    <n v="0.18720000000000001"/>
  </r>
  <r>
    <s v="ORD0681"/>
    <d v="2025-08-10T00:00:00"/>
    <x v="1"/>
    <x v="3"/>
    <x v="1"/>
    <n v="3"/>
    <n v="61.13"/>
    <n v="0.05"/>
    <n v="174.22"/>
    <n v="108.79"/>
    <n v="65.430000000000007"/>
    <x v="7"/>
    <n v="0.37559999999999999"/>
  </r>
  <r>
    <s v="ORD0682"/>
    <d v="2025-07-19T00:00:00"/>
    <x v="1"/>
    <x v="5"/>
    <x v="1"/>
    <n v="3"/>
    <n v="23.52"/>
    <n v="0.1"/>
    <n v="63.5"/>
    <n v="41.18"/>
    <n v="22.32"/>
    <x v="2"/>
    <n v="0.35149999999999998"/>
  </r>
  <r>
    <s v="ORD0683"/>
    <d v="2025-09-13T00:00:00"/>
    <x v="1"/>
    <x v="7"/>
    <x v="0"/>
    <n v="6"/>
    <n v="127.18"/>
    <n v="0"/>
    <n v="763.08"/>
    <n v="588.67999999999995"/>
    <n v="174.4"/>
    <x v="6"/>
    <n v="0.22850000000000001"/>
  </r>
  <r>
    <s v="ORD0684"/>
    <d v="2025-11-04T00:00:00"/>
    <x v="3"/>
    <x v="5"/>
    <x v="1"/>
    <n v="1"/>
    <n v="57.96"/>
    <n v="0.05"/>
    <n v="55.06"/>
    <n v="36.4"/>
    <n v="18.66"/>
    <x v="5"/>
    <n v="0.33889999999999998"/>
  </r>
  <r>
    <s v="ORD0685"/>
    <d v="2025-01-13T00:00:00"/>
    <x v="3"/>
    <x v="0"/>
    <x v="0"/>
    <n v="1"/>
    <n v="298.74"/>
    <n v="0.05"/>
    <n v="283.8"/>
    <n v="200.16"/>
    <n v="83.64"/>
    <x v="11"/>
    <n v="0.29470000000000002"/>
  </r>
  <r>
    <s v="ORD0686"/>
    <d v="2025-09-30T00:00:00"/>
    <x v="2"/>
    <x v="0"/>
    <x v="0"/>
    <n v="2"/>
    <n v="552.52"/>
    <n v="0.05"/>
    <n v="1049.79"/>
    <n v="797.91"/>
    <n v="251.88"/>
    <x v="6"/>
    <n v="0.2399"/>
  </r>
  <r>
    <s v="ORD0687"/>
    <d v="2025-11-11T00:00:00"/>
    <x v="0"/>
    <x v="4"/>
    <x v="0"/>
    <n v="2"/>
    <n v="434.04"/>
    <n v="0.15"/>
    <n v="737.87"/>
    <n v="535.98"/>
    <n v="201.89"/>
    <x v="5"/>
    <n v="0.27360000000000001"/>
  </r>
  <r>
    <s v="ORD0688"/>
    <d v="2025-07-08T00:00:00"/>
    <x v="2"/>
    <x v="0"/>
    <x v="0"/>
    <n v="3"/>
    <n v="457.28"/>
    <n v="0"/>
    <n v="1371.84"/>
    <n v="1050.01"/>
    <n v="321.83"/>
    <x v="2"/>
    <n v="0.2346"/>
  </r>
  <r>
    <s v="ORD0689"/>
    <d v="2025-01-13T00:00:00"/>
    <x v="2"/>
    <x v="0"/>
    <x v="0"/>
    <n v="2"/>
    <n v="537.4"/>
    <n v="0.05"/>
    <n v="1021.06"/>
    <n v="764.75"/>
    <n v="256.31"/>
    <x v="11"/>
    <n v="0.251"/>
  </r>
  <r>
    <s v="ORD0690"/>
    <d v="2025-04-04T00:00:00"/>
    <x v="3"/>
    <x v="4"/>
    <x v="0"/>
    <n v="5"/>
    <n v="359.52"/>
    <n v="0.05"/>
    <n v="1707.72"/>
    <n v="1266.8800000000001"/>
    <n v="440.84"/>
    <x v="0"/>
    <n v="0.2581"/>
  </r>
  <r>
    <s v="ORD0691"/>
    <d v="2025-06-29T00:00:00"/>
    <x v="0"/>
    <x v="7"/>
    <x v="0"/>
    <n v="7"/>
    <n v="258.12"/>
    <n v="0"/>
    <n v="1806.84"/>
    <n v="1338.52"/>
    <n v="468.32"/>
    <x v="1"/>
    <n v="0.25919999999999999"/>
  </r>
  <r>
    <s v="ORD0692"/>
    <d v="2025-11-09T00:00:00"/>
    <x v="2"/>
    <x v="5"/>
    <x v="1"/>
    <n v="7"/>
    <n v="19.77"/>
    <n v="0.05"/>
    <n v="131.47"/>
    <n v="85.04"/>
    <n v="46.43"/>
    <x v="5"/>
    <n v="0.35320000000000001"/>
  </r>
  <r>
    <s v="ORD0693"/>
    <d v="2025-07-27T00:00:00"/>
    <x v="3"/>
    <x v="6"/>
    <x v="0"/>
    <n v="6"/>
    <n v="1197.6600000000001"/>
    <n v="0.1"/>
    <n v="6467.36"/>
    <n v="4920.99"/>
    <n v="1546.37"/>
    <x v="2"/>
    <n v="0.23910000000000001"/>
  </r>
  <r>
    <s v="ORD0694"/>
    <d v="2025-03-13T00:00:00"/>
    <x v="1"/>
    <x v="7"/>
    <x v="0"/>
    <n v="7"/>
    <n v="211.08"/>
    <n v="0.1"/>
    <n v="1329.8"/>
    <n v="1063.3"/>
    <n v="266.5"/>
    <x v="9"/>
    <n v="0.20039999999999999"/>
  </r>
  <r>
    <s v="ORD0695"/>
    <d v="2025-05-19T00:00:00"/>
    <x v="1"/>
    <x v="2"/>
    <x v="1"/>
    <n v="4"/>
    <n v="79.37"/>
    <n v="0.1"/>
    <n v="285.73"/>
    <n v="192.61"/>
    <n v="93.12"/>
    <x v="4"/>
    <n v="0.32590000000000002"/>
  </r>
  <r>
    <s v="ORD0696"/>
    <d v="2025-12-07T00:00:00"/>
    <x v="2"/>
    <x v="1"/>
    <x v="1"/>
    <n v="7"/>
    <n v="98.41"/>
    <n v="0"/>
    <n v="688.87"/>
    <n v="511.54"/>
    <n v="177.33"/>
    <x v="8"/>
    <n v="0.25740000000000002"/>
  </r>
  <r>
    <s v="ORD0697"/>
    <d v="2025-11-06T00:00:00"/>
    <x v="2"/>
    <x v="0"/>
    <x v="0"/>
    <n v="6"/>
    <n v="351.97"/>
    <n v="0"/>
    <n v="2111.8200000000002"/>
    <n v="1604.69"/>
    <n v="507.13"/>
    <x v="5"/>
    <n v="0.24010000000000001"/>
  </r>
  <r>
    <s v="ORD0698"/>
    <d v="2025-04-25T00:00:00"/>
    <x v="0"/>
    <x v="6"/>
    <x v="0"/>
    <n v="1"/>
    <n v="702.38"/>
    <n v="0"/>
    <n v="702.38"/>
    <n v="412.46"/>
    <n v="289.92"/>
    <x v="0"/>
    <n v="0.4128"/>
  </r>
  <r>
    <s v="ORD0699"/>
    <d v="2025-07-03T00:00:00"/>
    <x v="0"/>
    <x v="0"/>
    <x v="0"/>
    <n v="3"/>
    <n v="479.43"/>
    <n v="0.05"/>
    <n v="1366.38"/>
    <n v="1006.77"/>
    <n v="359.61"/>
    <x v="2"/>
    <n v="0.26319999999999999"/>
  </r>
  <r>
    <s v="ORD0700"/>
    <d v="2025-08-02T00:00:00"/>
    <x v="0"/>
    <x v="5"/>
    <x v="1"/>
    <n v="2"/>
    <n v="51.04"/>
    <n v="0.05"/>
    <n v="96.98"/>
    <n v="68.03"/>
    <n v="28.95"/>
    <x v="7"/>
    <n v="0.29849999999999999"/>
  </r>
  <r>
    <s v="ORD0701"/>
    <d v="2025-04-15T00:00:00"/>
    <x v="2"/>
    <x v="6"/>
    <x v="0"/>
    <n v="3"/>
    <n v="770.85"/>
    <n v="0.05"/>
    <n v="2196.92"/>
    <n v="1631.76"/>
    <n v="565.16"/>
    <x v="0"/>
    <n v="0.25729999999999997"/>
  </r>
  <r>
    <s v="ORD0702"/>
    <d v="2025-12-26T00:00:00"/>
    <x v="2"/>
    <x v="0"/>
    <x v="0"/>
    <n v="4"/>
    <n v="645.35"/>
    <n v="0"/>
    <n v="2581.4"/>
    <n v="1707.84"/>
    <n v="873.56"/>
    <x v="8"/>
    <n v="0.33839999999999998"/>
  </r>
  <r>
    <s v="ORD0703"/>
    <d v="2025-07-27T00:00:00"/>
    <x v="0"/>
    <x v="1"/>
    <x v="1"/>
    <n v="4"/>
    <n v="49.8"/>
    <n v="0"/>
    <n v="199.2"/>
    <n v="155.44"/>
    <n v="43.76"/>
    <x v="2"/>
    <n v="0.21970000000000001"/>
  </r>
  <r>
    <s v="ORD0704"/>
    <d v="2025-03-17T00:00:00"/>
    <x v="1"/>
    <x v="5"/>
    <x v="1"/>
    <n v="6"/>
    <n v="15.89"/>
    <n v="0"/>
    <n v="95.34"/>
    <n v="59.02"/>
    <n v="36.32"/>
    <x v="9"/>
    <n v="0.38100000000000001"/>
  </r>
  <r>
    <s v="ORD0705"/>
    <d v="2025-09-07T00:00:00"/>
    <x v="2"/>
    <x v="7"/>
    <x v="0"/>
    <n v="7"/>
    <n v="341.7"/>
    <n v="0"/>
    <n v="2391.9"/>
    <n v="1675.2"/>
    <n v="716.7"/>
    <x v="6"/>
    <n v="0.29959999999999998"/>
  </r>
  <r>
    <s v="ORD0706"/>
    <d v="2025-01-10T00:00:00"/>
    <x v="1"/>
    <x v="2"/>
    <x v="1"/>
    <n v="6"/>
    <n v="116.05"/>
    <n v="0.1"/>
    <n v="626.66999999999996"/>
    <n v="476.85"/>
    <n v="149.82"/>
    <x v="11"/>
    <n v="0.23910000000000001"/>
  </r>
  <r>
    <s v="ORD0707"/>
    <d v="2025-06-12T00:00:00"/>
    <x v="2"/>
    <x v="1"/>
    <x v="1"/>
    <n v="5"/>
    <n v="35.909999999999997"/>
    <n v="0.15"/>
    <n v="152.62"/>
    <n v="117.24"/>
    <n v="35.380000000000003"/>
    <x v="1"/>
    <n v="0.23180000000000001"/>
  </r>
  <r>
    <s v="ORD0708"/>
    <d v="2025-12-06T00:00:00"/>
    <x v="2"/>
    <x v="6"/>
    <x v="0"/>
    <n v="5"/>
    <n v="712.15"/>
    <n v="0.1"/>
    <n v="3204.68"/>
    <n v="2517.19"/>
    <n v="687.49"/>
    <x v="8"/>
    <n v="0.2145"/>
  </r>
  <r>
    <s v="ORD0709"/>
    <d v="2025-03-30T00:00:00"/>
    <x v="0"/>
    <x v="0"/>
    <x v="0"/>
    <n v="4"/>
    <n v="327.52"/>
    <n v="0.05"/>
    <n v="1244.58"/>
    <n v="802.99"/>
    <n v="441.59"/>
    <x v="9"/>
    <n v="0.3548"/>
  </r>
  <r>
    <s v="ORD0710"/>
    <d v="2025-08-02T00:00:00"/>
    <x v="3"/>
    <x v="2"/>
    <x v="1"/>
    <n v="3"/>
    <n v="74.47"/>
    <n v="0"/>
    <n v="223.41"/>
    <n v="174.13"/>
    <n v="49.28"/>
    <x v="7"/>
    <n v="0.22059999999999999"/>
  </r>
  <r>
    <s v="ORD0711"/>
    <d v="2025-09-07T00:00:00"/>
    <x v="0"/>
    <x v="2"/>
    <x v="1"/>
    <n v="5"/>
    <n v="99.09"/>
    <n v="0"/>
    <n v="495.45"/>
    <n v="345.96"/>
    <n v="149.49"/>
    <x v="6"/>
    <n v="0.30170000000000002"/>
  </r>
  <r>
    <s v="ORD0712"/>
    <d v="2025-03-11T00:00:00"/>
    <x v="3"/>
    <x v="5"/>
    <x v="1"/>
    <n v="7"/>
    <n v="39.33"/>
    <n v="0"/>
    <n v="275.31"/>
    <n v="167.38"/>
    <n v="107.93"/>
    <x v="9"/>
    <n v="0.39200000000000002"/>
  </r>
  <r>
    <s v="ORD0713"/>
    <d v="2025-08-15T00:00:00"/>
    <x v="0"/>
    <x v="1"/>
    <x v="1"/>
    <n v="4"/>
    <n v="94.64"/>
    <n v="0.05"/>
    <n v="359.63"/>
    <n v="288.99"/>
    <n v="70.64"/>
    <x v="7"/>
    <n v="0.19639999999999999"/>
  </r>
  <r>
    <s v="ORD0714"/>
    <d v="2025-06-29T00:00:00"/>
    <x v="3"/>
    <x v="7"/>
    <x v="0"/>
    <n v="7"/>
    <n v="271.92"/>
    <n v="0"/>
    <n v="1903.44"/>
    <n v="1360.08"/>
    <n v="543.36"/>
    <x v="1"/>
    <n v="0.28549999999999998"/>
  </r>
  <r>
    <s v="ORD0715"/>
    <d v="2025-06-30T00:00:00"/>
    <x v="1"/>
    <x v="7"/>
    <x v="0"/>
    <n v="7"/>
    <n v="156.02000000000001"/>
    <n v="0.1"/>
    <n v="982.93"/>
    <n v="593.39"/>
    <n v="389.54"/>
    <x v="1"/>
    <n v="0.39629999999999999"/>
  </r>
  <r>
    <s v="ORD0716"/>
    <d v="2025-08-28T00:00:00"/>
    <x v="0"/>
    <x v="3"/>
    <x v="1"/>
    <n v="3"/>
    <n v="216.41"/>
    <n v="0"/>
    <n v="649.23"/>
    <n v="387.03"/>
    <n v="262.2"/>
    <x v="7"/>
    <n v="0.40389999999999998"/>
  </r>
  <r>
    <s v="ORD0717"/>
    <d v="2025-03-31T00:00:00"/>
    <x v="3"/>
    <x v="6"/>
    <x v="0"/>
    <n v="4"/>
    <n v="951.01"/>
    <n v="0.1"/>
    <n v="3423.64"/>
    <n v="2169"/>
    <n v="1254.6400000000001"/>
    <x v="9"/>
    <n v="0.36649999999999999"/>
  </r>
  <r>
    <s v="ORD0718"/>
    <d v="2025-04-04T00:00:00"/>
    <x v="3"/>
    <x v="1"/>
    <x v="1"/>
    <n v="7"/>
    <n v="78.319999999999993"/>
    <n v="0"/>
    <n v="548.24"/>
    <n v="373.71"/>
    <n v="174.53"/>
    <x v="0"/>
    <n v="0.31830000000000003"/>
  </r>
  <r>
    <s v="ORD0719"/>
    <d v="2025-01-31T00:00:00"/>
    <x v="2"/>
    <x v="0"/>
    <x v="0"/>
    <n v="7"/>
    <n v="547.55999999999995"/>
    <n v="0"/>
    <n v="3832.92"/>
    <n v="2355.84"/>
    <n v="1477.08"/>
    <x v="11"/>
    <n v="0.38540000000000002"/>
  </r>
  <r>
    <s v="ORD0720"/>
    <d v="2025-11-17T00:00:00"/>
    <x v="3"/>
    <x v="6"/>
    <x v="0"/>
    <n v="4"/>
    <n v="890.33"/>
    <n v="0"/>
    <n v="3561.32"/>
    <n v="2911.25"/>
    <n v="650.07000000000005"/>
    <x v="5"/>
    <n v="0.1825"/>
  </r>
  <r>
    <s v="ORD0721"/>
    <d v="2025-06-15T00:00:00"/>
    <x v="1"/>
    <x v="0"/>
    <x v="0"/>
    <n v="2"/>
    <n v="348.83"/>
    <n v="0.1"/>
    <n v="627.89"/>
    <n v="487.85"/>
    <n v="140.04"/>
    <x v="1"/>
    <n v="0.223"/>
  </r>
  <r>
    <s v="ORD0722"/>
    <d v="2025-05-25T00:00:00"/>
    <x v="0"/>
    <x v="3"/>
    <x v="1"/>
    <n v="6"/>
    <n v="184.06"/>
    <n v="0"/>
    <n v="1104.3599999999999"/>
    <n v="695.94"/>
    <n v="408.42"/>
    <x v="4"/>
    <n v="0.36980000000000002"/>
  </r>
  <r>
    <s v="ORD0723"/>
    <d v="2025-03-13T00:00:00"/>
    <x v="3"/>
    <x v="6"/>
    <x v="0"/>
    <n v="6"/>
    <n v="1143.3800000000001"/>
    <n v="0.05"/>
    <n v="6517.27"/>
    <n v="4065.74"/>
    <n v="2451.5300000000002"/>
    <x v="9"/>
    <n v="0.37619999999999998"/>
  </r>
  <r>
    <s v="ORD0724"/>
    <d v="2025-06-12T00:00:00"/>
    <x v="2"/>
    <x v="0"/>
    <x v="0"/>
    <n v="6"/>
    <n v="538.09"/>
    <n v="0.1"/>
    <n v="2905.69"/>
    <n v="1877.6"/>
    <n v="1028.0899999999999"/>
    <x v="1"/>
    <n v="0.3538"/>
  </r>
  <r>
    <s v="ORD0725"/>
    <d v="2025-01-26T00:00:00"/>
    <x v="1"/>
    <x v="2"/>
    <x v="1"/>
    <n v="5"/>
    <n v="151.38999999999999"/>
    <n v="0.05"/>
    <n v="719.1"/>
    <n v="508.82"/>
    <n v="210.28"/>
    <x v="11"/>
    <n v="0.29239999999999999"/>
  </r>
  <r>
    <s v="ORD0726"/>
    <d v="2025-05-26T00:00:00"/>
    <x v="2"/>
    <x v="3"/>
    <x v="1"/>
    <n v="2"/>
    <n v="110.43"/>
    <n v="0"/>
    <n v="220.86"/>
    <n v="162.88999999999999"/>
    <n v="57.97"/>
    <x v="4"/>
    <n v="0.26250000000000001"/>
  </r>
  <r>
    <s v="ORD0727"/>
    <d v="2025-01-19T00:00:00"/>
    <x v="1"/>
    <x v="6"/>
    <x v="0"/>
    <n v="1"/>
    <n v="1014.59"/>
    <n v="0"/>
    <n v="1014.59"/>
    <n v="690.16"/>
    <n v="324.43"/>
    <x v="11"/>
    <n v="0.31979999999999997"/>
  </r>
  <r>
    <s v="ORD0728"/>
    <d v="2025-04-10T00:00:00"/>
    <x v="1"/>
    <x v="1"/>
    <x v="1"/>
    <n v="7"/>
    <n v="87.87"/>
    <n v="0"/>
    <n v="615.09"/>
    <n v="409.11"/>
    <n v="205.98"/>
    <x v="0"/>
    <n v="0.33489999999999998"/>
  </r>
  <r>
    <s v="ORD0729"/>
    <d v="2025-05-25T00:00:00"/>
    <x v="1"/>
    <x v="7"/>
    <x v="0"/>
    <n v="2"/>
    <n v="306.75"/>
    <n v="0.1"/>
    <n v="552.15"/>
    <n v="401.32"/>
    <n v="150.83000000000001"/>
    <x v="4"/>
    <n v="0.2732"/>
  </r>
  <r>
    <s v="ORD0730"/>
    <d v="2025-11-10T00:00:00"/>
    <x v="2"/>
    <x v="1"/>
    <x v="1"/>
    <n v="2"/>
    <n v="35.06"/>
    <n v="0"/>
    <n v="70.12"/>
    <n v="47.62"/>
    <n v="22.5"/>
    <x v="5"/>
    <n v="0.32090000000000002"/>
  </r>
  <r>
    <s v="ORD0731"/>
    <d v="2025-07-06T00:00:00"/>
    <x v="2"/>
    <x v="2"/>
    <x v="1"/>
    <n v="5"/>
    <n v="39.11"/>
    <n v="0"/>
    <n v="195.55"/>
    <n v="121.95"/>
    <n v="73.599999999999994"/>
    <x v="2"/>
    <n v="0.37640000000000001"/>
  </r>
  <r>
    <s v="ORD0732"/>
    <d v="2025-07-13T00:00:00"/>
    <x v="1"/>
    <x v="5"/>
    <x v="1"/>
    <n v="6"/>
    <n v="21.85"/>
    <n v="0"/>
    <n v="131.1"/>
    <n v="92.35"/>
    <n v="38.75"/>
    <x v="2"/>
    <n v="0.29559999999999997"/>
  </r>
  <r>
    <s v="ORD0733"/>
    <d v="2025-02-14T00:00:00"/>
    <x v="0"/>
    <x v="1"/>
    <x v="1"/>
    <n v="6"/>
    <n v="55.18"/>
    <n v="0.15"/>
    <n v="281.42"/>
    <n v="180.94"/>
    <n v="100.48"/>
    <x v="3"/>
    <n v="0.35699999999999998"/>
  </r>
  <r>
    <s v="ORD0734"/>
    <d v="2025-11-09T00:00:00"/>
    <x v="2"/>
    <x v="7"/>
    <x v="0"/>
    <n v="7"/>
    <n v="332.92"/>
    <n v="0.15"/>
    <n v="1980.87"/>
    <n v="1450.99"/>
    <n v="529.88"/>
    <x v="5"/>
    <n v="0.26750000000000002"/>
  </r>
  <r>
    <s v="ORD0735"/>
    <d v="2025-08-09T00:00:00"/>
    <x v="1"/>
    <x v="1"/>
    <x v="1"/>
    <n v="6"/>
    <n v="96.48"/>
    <n v="0.05"/>
    <n v="549.94000000000005"/>
    <n v="408.38"/>
    <n v="141.56"/>
    <x v="7"/>
    <n v="0.25740000000000002"/>
  </r>
  <r>
    <s v="ORD0736"/>
    <d v="2025-05-02T00:00:00"/>
    <x v="3"/>
    <x v="5"/>
    <x v="1"/>
    <n v="2"/>
    <n v="63.94"/>
    <n v="0"/>
    <n v="127.88"/>
    <n v="99.73"/>
    <n v="28.15"/>
    <x v="4"/>
    <n v="0.22009999999999999"/>
  </r>
  <r>
    <s v="ORD0737"/>
    <d v="2025-05-26T00:00:00"/>
    <x v="1"/>
    <x v="2"/>
    <x v="1"/>
    <n v="4"/>
    <n v="79.28"/>
    <n v="0.15"/>
    <n v="269.55"/>
    <n v="172.59"/>
    <n v="96.96"/>
    <x v="4"/>
    <n v="0.35970000000000002"/>
  </r>
  <r>
    <s v="ORD0738"/>
    <d v="2025-04-22T00:00:00"/>
    <x v="2"/>
    <x v="7"/>
    <x v="0"/>
    <n v="2"/>
    <n v="223.66"/>
    <n v="0"/>
    <n v="447.32"/>
    <n v="320.97000000000003"/>
    <n v="126.35"/>
    <x v="0"/>
    <n v="0.28249999999999997"/>
  </r>
  <r>
    <s v="ORD0739"/>
    <d v="2025-12-03T00:00:00"/>
    <x v="3"/>
    <x v="1"/>
    <x v="1"/>
    <n v="7"/>
    <n v="50.84"/>
    <n v="0"/>
    <n v="355.88"/>
    <n v="289.97000000000003"/>
    <n v="65.91"/>
    <x v="8"/>
    <n v="0.1852"/>
  </r>
  <r>
    <s v="ORD0740"/>
    <d v="2025-07-12T00:00:00"/>
    <x v="2"/>
    <x v="1"/>
    <x v="1"/>
    <n v="5"/>
    <n v="106.43"/>
    <n v="0.1"/>
    <n v="478.94"/>
    <n v="328.43"/>
    <n v="150.51"/>
    <x v="2"/>
    <n v="0.31430000000000002"/>
  </r>
  <r>
    <s v="ORD0741"/>
    <d v="2025-11-12T00:00:00"/>
    <x v="2"/>
    <x v="2"/>
    <x v="1"/>
    <n v="7"/>
    <n v="64.569999999999993"/>
    <n v="0.15"/>
    <n v="384.19"/>
    <n v="225.21"/>
    <n v="158.97999999999999"/>
    <x v="5"/>
    <n v="0.4138"/>
  </r>
  <r>
    <s v="ORD0742"/>
    <d v="2025-10-06T00:00:00"/>
    <x v="0"/>
    <x v="0"/>
    <x v="0"/>
    <n v="6"/>
    <n v="503.38"/>
    <n v="0"/>
    <n v="3020.28"/>
    <n v="2432.0700000000002"/>
    <n v="588.21"/>
    <x v="10"/>
    <n v="0.1948"/>
  </r>
  <r>
    <s v="ORD0743"/>
    <d v="2025-01-30T00:00:00"/>
    <x v="3"/>
    <x v="1"/>
    <x v="1"/>
    <n v="5"/>
    <n v="46.15"/>
    <n v="0"/>
    <n v="230.75"/>
    <n v="164.1"/>
    <n v="66.650000000000006"/>
    <x v="11"/>
    <n v="0.2888"/>
  </r>
  <r>
    <s v="ORD0744"/>
    <d v="2025-07-25T00:00:00"/>
    <x v="0"/>
    <x v="5"/>
    <x v="1"/>
    <n v="2"/>
    <n v="22.77"/>
    <n v="0"/>
    <n v="45.54"/>
    <n v="34.69"/>
    <n v="10.85"/>
    <x v="2"/>
    <n v="0.23830000000000001"/>
  </r>
  <r>
    <s v="ORD0745"/>
    <d v="2025-11-30T00:00:00"/>
    <x v="1"/>
    <x v="6"/>
    <x v="0"/>
    <n v="6"/>
    <n v="805.52"/>
    <n v="0"/>
    <n v="4833.12"/>
    <n v="2822.46"/>
    <n v="2010.66"/>
    <x v="5"/>
    <n v="0.41599999999999998"/>
  </r>
  <r>
    <s v="ORD0746"/>
    <d v="2025-08-02T00:00:00"/>
    <x v="3"/>
    <x v="5"/>
    <x v="1"/>
    <n v="2"/>
    <n v="16.84"/>
    <n v="0"/>
    <n v="33.68"/>
    <n v="26.24"/>
    <n v="7.44"/>
    <x v="7"/>
    <n v="0.22090000000000001"/>
  </r>
  <r>
    <s v="ORD0747"/>
    <d v="2025-05-01T00:00:00"/>
    <x v="0"/>
    <x v="0"/>
    <x v="0"/>
    <n v="7"/>
    <n v="304.32"/>
    <n v="0"/>
    <n v="2130.2399999999998"/>
    <n v="1377.53"/>
    <n v="752.71"/>
    <x v="4"/>
    <n v="0.3533"/>
  </r>
  <r>
    <s v="ORD0748"/>
    <d v="2025-07-06T00:00:00"/>
    <x v="0"/>
    <x v="4"/>
    <x v="0"/>
    <n v="6"/>
    <n v="206.25"/>
    <n v="0"/>
    <n v="1237.5"/>
    <n v="720.63"/>
    <n v="516.87"/>
    <x v="2"/>
    <n v="0.41770000000000002"/>
  </r>
  <r>
    <s v="ORD0749"/>
    <d v="2025-10-25T00:00:00"/>
    <x v="2"/>
    <x v="7"/>
    <x v="0"/>
    <n v="6"/>
    <n v="293.22000000000003"/>
    <n v="0"/>
    <n v="1759.32"/>
    <n v="1125.07"/>
    <n v="634.25"/>
    <x v="10"/>
    <n v="0.36049999999999999"/>
  </r>
  <r>
    <s v="ORD0750"/>
    <d v="2025-10-10T00:00:00"/>
    <x v="1"/>
    <x v="5"/>
    <x v="1"/>
    <n v="5"/>
    <n v="47.67"/>
    <n v="0"/>
    <n v="238.35"/>
    <n v="141.78"/>
    <n v="96.57"/>
    <x v="10"/>
    <n v="0.40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5F7B3B-9C3D-4B91-A3A1-F809950F2D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64" showAll="0"/>
    <pivotField axis="axisRow" showAll="0">
      <items count="5">
        <item x="1"/>
        <item x="3"/>
        <item x="0"/>
        <item x="2"/>
        <item t="default"/>
      </items>
    </pivotField>
    <pivotField showAll="0">
      <items count="9">
        <item x="3"/>
        <item x="1"/>
        <item x="6"/>
        <item x="4"/>
        <item x="5"/>
        <item x="7"/>
        <item x="0"/>
        <item x="2"/>
        <item t="default"/>
      </items>
    </pivotField>
    <pivotField showAll="0">
      <items count="3">
        <item x="1"/>
        <item h="1" x="0"/>
        <item t="default"/>
      </items>
    </pivotField>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fld="8"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D919DB-8F8D-4A09-8C7C-5A645FC982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13">
    <pivotField showAll="0"/>
    <pivotField numFmtId="164" showAll="0"/>
    <pivotField showAll="0">
      <items count="5">
        <item x="1"/>
        <item x="3"/>
        <item x="0"/>
        <item x="2"/>
        <item t="default"/>
      </items>
    </pivotField>
    <pivotField axis="axisRow" showAll="0" sortType="descending">
      <items count="9">
        <item x="3"/>
        <item x="1"/>
        <item x="6"/>
        <item x="4"/>
        <item x="5"/>
        <item x="7"/>
        <item x="0"/>
        <item x="2"/>
        <item t="default"/>
      </items>
      <autoSortScope>
        <pivotArea dataOnly="0" outline="0" fieldPosition="0">
          <references count="1">
            <reference field="4294967294" count="1" selected="0">
              <x v="0"/>
            </reference>
          </references>
        </pivotArea>
      </autoSortScope>
    </pivotField>
    <pivotField showAll="0">
      <items count="3">
        <item x="1"/>
        <item h="1" x="0"/>
        <item t="default"/>
      </items>
    </pivotField>
    <pivotField showAll="0"/>
    <pivotField showAll="0"/>
    <pivotField showAll="0"/>
    <pivotField dataField="1" showAll="0"/>
    <pivotField showAll="0"/>
    <pivotField dataField="1" showAll="0"/>
    <pivotField showAll="0"/>
    <pivotField showAll="0"/>
  </pivotFields>
  <rowFields count="1">
    <field x="3"/>
  </rowFields>
  <rowItems count="5">
    <i>
      <x/>
    </i>
    <i>
      <x v="7"/>
    </i>
    <i>
      <x v="1"/>
    </i>
    <i>
      <x v="4"/>
    </i>
    <i t="grand">
      <x/>
    </i>
  </rowItems>
  <colFields count="1">
    <field x="-2"/>
  </colFields>
  <colItems count="2">
    <i>
      <x/>
    </i>
    <i i="1">
      <x v="1"/>
    </i>
  </colItems>
  <dataFields count="2">
    <dataField name="Sum of Sales" fld="8"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C552C-B7A4-4AB0-B3BB-7B38B5B8F8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6" firstHeaderRow="0" firstDataRow="1" firstDataCol="1"/>
  <pivotFields count="13">
    <pivotField showAll="0"/>
    <pivotField numFmtId="164" showAll="0"/>
    <pivotField showAll="0">
      <items count="5">
        <item x="1"/>
        <item x="3"/>
        <item x="0"/>
        <item x="2"/>
        <item t="default"/>
      </items>
    </pivotField>
    <pivotField showAll="0">
      <items count="9">
        <item x="3"/>
        <item x="1"/>
        <item x="6"/>
        <item x="4"/>
        <item x="5"/>
        <item x="7"/>
        <item x="0"/>
        <item x="2"/>
        <item t="default"/>
      </items>
    </pivotField>
    <pivotField showAll="0">
      <items count="3">
        <item x="1"/>
        <item h="1" x="0"/>
        <item t="default"/>
      </items>
    </pivotField>
    <pivotField showAll="0"/>
    <pivotField showAll="0"/>
    <pivotField showAll="0"/>
    <pivotField dataField="1" showAll="0"/>
    <pivotField showAll="0"/>
    <pivotField dataField="1" showAll="0"/>
    <pivotField axis="axisRow" showAll="0">
      <items count="13">
        <item x="11"/>
        <item x="3"/>
        <item x="9"/>
        <item x="0"/>
        <item x="4"/>
        <item x="1"/>
        <item x="2"/>
        <item x="7"/>
        <item x="6"/>
        <item x="10"/>
        <item x="5"/>
        <item x="8"/>
        <item t="default"/>
      </items>
    </pivotField>
    <pivotField showAll="0"/>
  </pivotFields>
  <rowFields count="1">
    <field x="1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8"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5E024F-8C73-47A2-99FE-87204C7DB735}" sourceName="Region">
  <pivotTables>
    <pivotTable tabId="4" name="PivotTable1"/>
    <pivotTable tabId="5" name="PivotTable2"/>
    <pivotTable tabId="6" name="PivotTable3"/>
  </pivotTables>
  <data>
    <tabular pivotCacheId="1515878467">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0A3F42C-8EA0-4D00-AD7A-AEB185AE1E4F}" sourceName="Product">
  <pivotTables>
    <pivotTable tabId="4" name="PivotTable1"/>
    <pivotTable tabId="5" name="PivotTable2"/>
    <pivotTable tabId="6" name="PivotTable3"/>
  </pivotTables>
  <data>
    <tabular pivotCacheId="1515878467">
      <items count="8">
        <i x="3" s="1"/>
        <i x="1" s="1"/>
        <i x="5" s="1"/>
        <i x="2" s="1"/>
        <i x="6" s="1" nd="1"/>
        <i x="4" s="1" nd="1"/>
        <i x="7"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8F128E-2B77-4D88-A0D0-CB77DD27A2BA}" sourceName="Category">
  <pivotTables>
    <pivotTable tabId="4" name="PivotTable1"/>
    <pivotTable tabId="5" name="PivotTable2"/>
    <pivotTable tabId="6" name="PivotTable3"/>
  </pivotTables>
  <data>
    <tabular pivotCacheId="151587846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B1C625-31C7-48D5-8D81-7C43DDDC95DB}" cache="Slicer_Region" caption="Region" rowHeight="234950"/>
  <slicer name="Product" xr10:uid="{2BA86693-6646-4809-9DAE-D9DC41B45F7A}" cache="Slicer_Product" caption="Product" rowHeight="234950"/>
  <slicer name="Product 1" xr10:uid="{A1112E37-F7D5-484F-87E9-633B3CD99314}" cache="Slicer_Product" caption="Product" rowHeight="234950"/>
  <slicer name="Category" xr10:uid="{F6D2629B-C8F4-4B64-9728-DFE2EB65BB3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51"/>
  <sheetViews>
    <sheetView topLeftCell="B1" workbookViewId="0">
      <selection activeCell="E9" sqref="E9"/>
    </sheetView>
  </sheetViews>
  <sheetFormatPr defaultRowHeight="14.4" x14ac:dyDescent="0.3"/>
  <cols>
    <col min="2" max="2" width="26.88671875" customWidth="1"/>
    <col min="3" max="3" width="8.77734375" customWidth="1"/>
    <col min="5" max="5" width="10.5546875" customWidth="1"/>
    <col min="15" max="15" width="12.44140625" customWidth="1"/>
    <col min="16" max="16" width="11.5546875" customWidth="1"/>
    <col min="17" max="17" width="10.109375" customWidth="1"/>
    <col min="18" max="18" width="15.66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row>
    <row r="2" spans="1:18" x14ac:dyDescent="0.3">
      <c r="A2" t="s">
        <v>13</v>
      </c>
      <c r="B2" s="2">
        <v>45760</v>
      </c>
      <c r="C2" t="s">
        <v>14</v>
      </c>
      <c r="D2" t="s">
        <v>15</v>
      </c>
      <c r="E2" t="s">
        <v>16</v>
      </c>
      <c r="F2">
        <v>4</v>
      </c>
      <c r="G2">
        <v>626.84</v>
      </c>
      <c r="H2">
        <v>0.1</v>
      </c>
      <c r="I2">
        <v>2256.62</v>
      </c>
      <c r="J2">
        <v>1633.07</v>
      </c>
      <c r="K2">
        <v>623.54999999999995</v>
      </c>
      <c r="L2" t="s">
        <v>17</v>
      </c>
      <c r="M2">
        <v>0.27629999999999999</v>
      </c>
    </row>
    <row r="3" spans="1:18" x14ac:dyDescent="0.3">
      <c r="A3" t="s">
        <v>18</v>
      </c>
      <c r="B3" s="2">
        <v>45809</v>
      </c>
      <c r="C3" t="s">
        <v>19</v>
      </c>
      <c r="D3" t="s">
        <v>20</v>
      </c>
      <c r="E3" t="s">
        <v>21</v>
      </c>
      <c r="F3">
        <v>7</v>
      </c>
      <c r="G3">
        <v>30.52</v>
      </c>
      <c r="H3">
        <v>0.1</v>
      </c>
      <c r="I3">
        <v>192.28</v>
      </c>
      <c r="J3">
        <v>139.26</v>
      </c>
      <c r="K3">
        <v>53.02</v>
      </c>
      <c r="L3" t="s">
        <v>22</v>
      </c>
      <c r="M3">
        <v>0.2757</v>
      </c>
      <c r="O3" t="s">
        <v>795</v>
      </c>
      <c r="P3" t="s">
        <v>796</v>
      </c>
      <c r="Q3" t="s">
        <v>797</v>
      </c>
      <c r="R3" t="s">
        <v>798</v>
      </c>
    </row>
    <row r="4" spans="1:18" x14ac:dyDescent="0.3">
      <c r="A4" t="s">
        <v>23</v>
      </c>
      <c r="B4" s="2">
        <v>45849</v>
      </c>
      <c r="C4" t="s">
        <v>24</v>
      </c>
      <c r="D4" t="s">
        <v>25</v>
      </c>
      <c r="E4" t="s">
        <v>21</v>
      </c>
      <c r="F4">
        <v>5</v>
      </c>
      <c r="G4">
        <v>156.09</v>
      </c>
      <c r="H4">
        <v>0.1</v>
      </c>
      <c r="I4">
        <v>702.41</v>
      </c>
      <c r="J4">
        <v>443.19</v>
      </c>
      <c r="K4">
        <v>259.22000000000003</v>
      </c>
      <c r="L4" t="s">
        <v>26</v>
      </c>
      <c r="M4">
        <v>0.36899999999999999</v>
      </c>
      <c r="O4">
        <f>SUM(I2:I751)</f>
        <v>753637.49000000057</v>
      </c>
      <c r="P4">
        <f>SUM(K2:K751)</f>
        <v>221240.22000000012</v>
      </c>
      <c r="Q4">
        <f>SUM(F2:F751)</f>
        <v>3020</v>
      </c>
      <c r="R4">
        <f>COUNTA(A2:A751)</f>
        <v>750</v>
      </c>
    </row>
    <row r="5" spans="1:18" x14ac:dyDescent="0.3">
      <c r="A5" t="s">
        <v>27</v>
      </c>
      <c r="B5" s="2">
        <v>45706</v>
      </c>
      <c r="C5" t="s">
        <v>19</v>
      </c>
      <c r="D5" t="s">
        <v>28</v>
      </c>
      <c r="E5" t="s">
        <v>21</v>
      </c>
      <c r="F5">
        <v>1</v>
      </c>
      <c r="G5">
        <v>91.28</v>
      </c>
      <c r="H5">
        <v>0.05</v>
      </c>
      <c r="I5">
        <v>86.72</v>
      </c>
      <c r="J5">
        <v>59.29</v>
      </c>
      <c r="K5">
        <v>27.43</v>
      </c>
      <c r="L5" t="s">
        <v>29</v>
      </c>
      <c r="M5">
        <v>0.31630000000000003</v>
      </c>
    </row>
    <row r="6" spans="1:18" x14ac:dyDescent="0.3">
      <c r="A6" t="s">
        <v>30</v>
      </c>
      <c r="B6" s="2">
        <v>45847</v>
      </c>
      <c r="C6" t="s">
        <v>14</v>
      </c>
      <c r="D6" t="s">
        <v>20</v>
      </c>
      <c r="E6" t="s">
        <v>21</v>
      </c>
      <c r="F6">
        <v>7</v>
      </c>
      <c r="G6">
        <v>38.25</v>
      </c>
      <c r="H6">
        <v>0</v>
      </c>
      <c r="I6">
        <v>267.75</v>
      </c>
      <c r="J6">
        <v>178.84</v>
      </c>
      <c r="K6">
        <v>88.91</v>
      </c>
      <c r="L6" t="s">
        <v>26</v>
      </c>
      <c r="M6">
        <v>0.33210000000000001</v>
      </c>
      <c r="O6">
        <f>221240.22/753637.49%</f>
        <v>29.356318247915191</v>
      </c>
    </row>
    <row r="7" spans="1:18" x14ac:dyDescent="0.3">
      <c r="A7" t="s">
        <v>31</v>
      </c>
      <c r="B7" s="2">
        <v>45788</v>
      </c>
      <c r="C7" t="s">
        <v>32</v>
      </c>
      <c r="D7" t="s">
        <v>15</v>
      </c>
      <c r="E7" t="s">
        <v>16</v>
      </c>
      <c r="F7">
        <v>6</v>
      </c>
      <c r="G7">
        <v>273.85000000000002</v>
      </c>
      <c r="H7">
        <v>0.05</v>
      </c>
      <c r="I7">
        <v>1560.95</v>
      </c>
      <c r="J7">
        <v>1127.29</v>
      </c>
      <c r="K7">
        <v>433.66</v>
      </c>
      <c r="L7" t="s">
        <v>33</v>
      </c>
      <c r="M7">
        <v>0.27779999999999999</v>
      </c>
    </row>
    <row r="8" spans="1:18" x14ac:dyDescent="0.3">
      <c r="A8" t="s">
        <v>34</v>
      </c>
      <c r="B8" s="2">
        <v>45973</v>
      </c>
      <c r="C8" t="s">
        <v>14</v>
      </c>
      <c r="D8" t="s">
        <v>20</v>
      </c>
      <c r="E8" t="s">
        <v>21</v>
      </c>
      <c r="F8">
        <v>7</v>
      </c>
      <c r="G8">
        <v>41.2</v>
      </c>
      <c r="H8">
        <v>0</v>
      </c>
      <c r="I8">
        <v>288.39999999999998</v>
      </c>
      <c r="J8">
        <v>232.95</v>
      </c>
      <c r="K8">
        <v>55.45</v>
      </c>
      <c r="L8" t="s">
        <v>35</v>
      </c>
      <c r="M8">
        <v>0.1923</v>
      </c>
    </row>
    <row r="9" spans="1:18" x14ac:dyDescent="0.3">
      <c r="A9" t="s">
        <v>36</v>
      </c>
      <c r="B9" s="2">
        <v>45921</v>
      </c>
      <c r="C9" t="s">
        <v>19</v>
      </c>
      <c r="D9" t="s">
        <v>37</v>
      </c>
      <c r="E9" t="s">
        <v>16</v>
      </c>
      <c r="F9">
        <v>2</v>
      </c>
      <c r="G9">
        <v>234.43</v>
      </c>
      <c r="H9">
        <v>0</v>
      </c>
      <c r="I9">
        <v>468.86</v>
      </c>
      <c r="J9">
        <v>348.93</v>
      </c>
      <c r="K9">
        <v>119.93</v>
      </c>
      <c r="L9" t="s">
        <v>38</v>
      </c>
      <c r="M9">
        <v>0.25580000000000003</v>
      </c>
    </row>
    <row r="10" spans="1:18" x14ac:dyDescent="0.3">
      <c r="A10" t="s">
        <v>39</v>
      </c>
      <c r="B10" s="2">
        <v>45711</v>
      </c>
      <c r="C10" t="s">
        <v>14</v>
      </c>
      <c r="D10" t="s">
        <v>20</v>
      </c>
      <c r="E10" t="s">
        <v>21</v>
      </c>
      <c r="F10">
        <v>6</v>
      </c>
      <c r="G10">
        <v>62.15</v>
      </c>
      <c r="H10">
        <v>0</v>
      </c>
      <c r="I10">
        <v>372.9</v>
      </c>
      <c r="J10">
        <v>283.88</v>
      </c>
      <c r="K10">
        <v>89.02</v>
      </c>
      <c r="L10" t="s">
        <v>29</v>
      </c>
      <c r="M10">
        <v>0.2387</v>
      </c>
    </row>
    <row r="11" spans="1:18" x14ac:dyDescent="0.3">
      <c r="A11" t="s">
        <v>40</v>
      </c>
      <c r="B11" s="2">
        <v>45859</v>
      </c>
      <c r="C11" t="s">
        <v>14</v>
      </c>
      <c r="D11" t="s">
        <v>41</v>
      </c>
      <c r="E11" t="s">
        <v>21</v>
      </c>
      <c r="F11">
        <v>6</v>
      </c>
      <c r="G11">
        <v>13.97</v>
      </c>
      <c r="H11">
        <v>0.1</v>
      </c>
      <c r="I11">
        <v>75.44</v>
      </c>
      <c r="J11">
        <v>51.9</v>
      </c>
      <c r="K11">
        <v>23.54</v>
      </c>
      <c r="L11" t="s">
        <v>26</v>
      </c>
      <c r="M11">
        <v>0.312</v>
      </c>
    </row>
    <row r="12" spans="1:18" x14ac:dyDescent="0.3">
      <c r="A12" t="s">
        <v>42</v>
      </c>
      <c r="B12" s="2">
        <v>45909</v>
      </c>
      <c r="C12" t="s">
        <v>32</v>
      </c>
      <c r="D12" t="s">
        <v>41</v>
      </c>
      <c r="E12" t="s">
        <v>21</v>
      </c>
      <c r="F12">
        <v>6</v>
      </c>
      <c r="G12">
        <v>57.82</v>
      </c>
      <c r="H12">
        <v>0</v>
      </c>
      <c r="I12">
        <v>346.92</v>
      </c>
      <c r="J12">
        <v>248.71</v>
      </c>
      <c r="K12">
        <v>98.21</v>
      </c>
      <c r="L12" t="s">
        <v>38</v>
      </c>
      <c r="M12">
        <v>0.28310000000000002</v>
      </c>
    </row>
    <row r="13" spans="1:18" x14ac:dyDescent="0.3">
      <c r="A13" t="s">
        <v>43</v>
      </c>
      <c r="B13" s="2">
        <v>45874</v>
      </c>
      <c r="C13" t="s">
        <v>24</v>
      </c>
      <c r="D13" t="s">
        <v>25</v>
      </c>
      <c r="E13" t="s">
        <v>21</v>
      </c>
      <c r="F13">
        <v>5</v>
      </c>
      <c r="G13">
        <v>80.53</v>
      </c>
      <c r="H13">
        <v>0</v>
      </c>
      <c r="I13">
        <v>402.65</v>
      </c>
      <c r="J13">
        <v>313.62</v>
      </c>
      <c r="K13">
        <v>89.03</v>
      </c>
      <c r="L13" t="s">
        <v>44</v>
      </c>
      <c r="M13">
        <v>0.22109999999999999</v>
      </c>
    </row>
    <row r="14" spans="1:18" x14ac:dyDescent="0.3">
      <c r="A14" t="s">
        <v>45</v>
      </c>
      <c r="B14" s="2">
        <v>46002</v>
      </c>
      <c r="C14" t="s">
        <v>19</v>
      </c>
      <c r="D14" t="s">
        <v>41</v>
      </c>
      <c r="E14" t="s">
        <v>21</v>
      </c>
      <c r="F14">
        <v>4</v>
      </c>
      <c r="G14">
        <v>29.39</v>
      </c>
      <c r="H14">
        <v>0</v>
      </c>
      <c r="I14">
        <v>117.56</v>
      </c>
      <c r="J14">
        <v>72.849999999999994</v>
      </c>
      <c r="K14">
        <v>44.71</v>
      </c>
      <c r="L14" t="s">
        <v>46</v>
      </c>
      <c r="M14">
        <v>0.38030000000000003</v>
      </c>
    </row>
    <row r="15" spans="1:18" x14ac:dyDescent="0.3">
      <c r="A15" t="s">
        <v>47</v>
      </c>
      <c r="B15" s="2">
        <v>45738</v>
      </c>
      <c r="C15" t="s">
        <v>24</v>
      </c>
      <c r="D15" t="s">
        <v>48</v>
      </c>
      <c r="E15" t="s">
        <v>16</v>
      </c>
      <c r="F15">
        <v>1</v>
      </c>
      <c r="G15">
        <v>679.17</v>
      </c>
      <c r="H15">
        <v>0</v>
      </c>
      <c r="I15">
        <v>679.17</v>
      </c>
      <c r="J15">
        <v>526.84</v>
      </c>
      <c r="K15">
        <v>152.33000000000001</v>
      </c>
      <c r="L15" t="s">
        <v>49</v>
      </c>
      <c r="M15">
        <v>0.2243</v>
      </c>
    </row>
    <row r="16" spans="1:18" x14ac:dyDescent="0.3">
      <c r="A16" t="s">
        <v>50</v>
      </c>
      <c r="B16" s="2">
        <v>45698</v>
      </c>
      <c r="C16" t="s">
        <v>24</v>
      </c>
      <c r="D16" t="s">
        <v>20</v>
      </c>
      <c r="E16" t="s">
        <v>21</v>
      </c>
      <c r="F16">
        <v>3</v>
      </c>
      <c r="G16">
        <v>98.27</v>
      </c>
      <c r="H16">
        <v>0</v>
      </c>
      <c r="I16">
        <v>294.81</v>
      </c>
      <c r="J16">
        <v>196.35</v>
      </c>
      <c r="K16">
        <v>98.46</v>
      </c>
      <c r="L16" t="s">
        <v>29</v>
      </c>
      <c r="M16">
        <v>0.33400000000000002</v>
      </c>
    </row>
    <row r="17" spans="1:13" x14ac:dyDescent="0.3">
      <c r="A17" t="s">
        <v>51</v>
      </c>
      <c r="B17" s="2">
        <v>45719</v>
      </c>
      <c r="C17" t="s">
        <v>24</v>
      </c>
      <c r="D17" t="s">
        <v>15</v>
      </c>
      <c r="E17" t="s">
        <v>16</v>
      </c>
      <c r="F17">
        <v>1</v>
      </c>
      <c r="G17">
        <v>472.95</v>
      </c>
      <c r="H17">
        <v>0</v>
      </c>
      <c r="I17">
        <v>472.95</v>
      </c>
      <c r="J17">
        <v>281.52999999999997</v>
      </c>
      <c r="K17">
        <v>191.42</v>
      </c>
      <c r="L17" t="s">
        <v>49</v>
      </c>
      <c r="M17">
        <v>0.4047</v>
      </c>
    </row>
    <row r="18" spans="1:13" x14ac:dyDescent="0.3">
      <c r="A18" t="s">
        <v>52</v>
      </c>
      <c r="B18" s="2">
        <v>45884</v>
      </c>
      <c r="C18" t="s">
        <v>32</v>
      </c>
      <c r="D18" t="s">
        <v>28</v>
      </c>
      <c r="E18" t="s">
        <v>21</v>
      </c>
      <c r="F18">
        <v>3</v>
      </c>
      <c r="G18">
        <v>144.38999999999999</v>
      </c>
      <c r="H18">
        <v>0</v>
      </c>
      <c r="I18">
        <v>433.17</v>
      </c>
      <c r="J18">
        <v>309.58999999999997</v>
      </c>
      <c r="K18">
        <v>123.58</v>
      </c>
      <c r="L18" t="s">
        <v>44</v>
      </c>
      <c r="M18">
        <v>0.2853</v>
      </c>
    </row>
    <row r="19" spans="1:13" x14ac:dyDescent="0.3">
      <c r="A19" t="s">
        <v>53</v>
      </c>
      <c r="B19" s="2">
        <v>46016</v>
      </c>
      <c r="C19" t="s">
        <v>19</v>
      </c>
      <c r="D19" t="s">
        <v>15</v>
      </c>
      <c r="E19" t="s">
        <v>16</v>
      </c>
      <c r="F19">
        <v>6</v>
      </c>
      <c r="G19">
        <v>578.99</v>
      </c>
      <c r="H19">
        <v>0.1</v>
      </c>
      <c r="I19">
        <v>3126.55</v>
      </c>
      <c r="J19">
        <v>1990.48</v>
      </c>
      <c r="K19">
        <v>1136.07</v>
      </c>
      <c r="L19" t="s">
        <v>46</v>
      </c>
      <c r="M19">
        <v>0.3634</v>
      </c>
    </row>
    <row r="20" spans="1:13" x14ac:dyDescent="0.3">
      <c r="A20" t="s">
        <v>54</v>
      </c>
      <c r="B20" s="2">
        <v>45720</v>
      </c>
      <c r="C20" t="s">
        <v>24</v>
      </c>
      <c r="D20" t="s">
        <v>48</v>
      </c>
      <c r="E20" t="s">
        <v>16</v>
      </c>
      <c r="F20">
        <v>7</v>
      </c>
      <c r="G20">
        <v>827.9</v>
      </c>
      <c r="H20">
        <v>0</v>
      </c>
      <c r="I20">
        <v>5795.3</v>
      </c>
      <c r="J20">
        <v>3511.34</v>
      </c>
      <c r="K20">
        <v>2283.96</v>
      </c>
      <c r="L20" t="s">
        <v>49</v>
      </c>
      <c r="M20">
        <v>0.39410000000000001</v>
      </c>
    </row>
    <row r="21" spans="1:13" x14ac:dyDescent="0.3">
      <c r="A21" t="s">
        <v>55</v>
      </c>
      <c r="B21" s="2">
        <v>45888</v>
      </c>
      <c r="C21" t="s">
        <v>32</v>
      </c>
      <c r="D21" t="s">
        <v>15</v>
      </c>
      <c r="E21" t="s">
        <v>16</v>
      </c>
      <c r="F21">
        <v>1</v>
      </c>
      <c r="G21">
        <v>327.75</v>
      </c>
      <c r="H21">
        <v>0.05</v>
      </c>
      <c r="I21">
        <v>311.36</v>
      </c>
      <c r="J21">
        <v>248.41</v>
      </c>
      <c r="K21">
        <v>62.95</v>
      </c>
      <c r="L21" t="s">
        <v>44</v>
      </c>
      <c r="M21">
        <v>0.20219999999999999</v>
      </c>
    </row>
    <row r="22" spans="1:13" x14ac:dyDescent="0.3">
      <c r="A22" t="s">
        <v>56</v>
      </c>
      <c r="B22" s="2">
        <v>45900</v>
      </c>
      <c r="C22" t="s">
        <v>14</v>
      </c>
      <c r="D22" t="s">
        <v>15</v>
      </c>
      <c r="E22" t="s">
        <v>16</v>
      </c>
      <c r="F22">
        <v>3</v>
      </c>
      <c r="G22">
        <v>275.44</v>
      </c>
      <c r="H22">
        <v>0.15</v>
      </c>
      <c r="I22">
        <v>702.37</v>
      </c>
      <c r="J22">
        <v>508.32</v>
      </c>
      <c r="K22">
        <v>194.05</v>
      </c>
      <c r="L22" t="s">
        <v>44</v>
      </c>
      <c r="M22">
        <v>0.27629999999999999</v>
      </c>
    </row>
    <row r="23" spans="1:13" x14ac:dyDescent="0.3">
      <c r="A23" t="s">
        <v>57</v>
      </c>
      <c r="B23" s="2">
        <v>45941</v>
      </c>
      <c r="C23" t="s">
        <v>24</v>
      </c>
      <c r="D23" t="s">
        <v>41</v>
      </c>
      <c r="E23" t="s">
        <v>21</v>
      </c>
      <c r="F23">
        <v>2</v>
      </c>
      <c r="G23">
        <v>51.33</v>
      </c>
      <c r="H23">
        <v>0</v>
      </c>
      <c r="I23">
        <v>102.66</v>
      </c>
      <c r="J23">
        <v>62.14</v>
      </c>
      <c r="K23">
        <v>40.520000000000003</v>
      </c>
      <c r="L23" t="s">
        <v>58</v>
      </c>
      <c r="M23">
        <v>0.3947</v>
      </c>
    </row>
    <row r="24" spans="1:13" x14ac:dyDescent="0.3">
      <c r="A24" t="s">
        <v>59</v>
      </c>
      <c r="B24" s="2">
        <v>46005</v>
      </c>
      <c r="C24" t="s">
        <v>32</v>
      </c>
      <c r="D24" t="s">
        <v>41</v>
      </c>
      <c r="E24" t="s">
        <v>21</v>
      </c>
      <c r="F24">
        <v>4</v>
      </c>
      <c r="G24">
        <v>38.24</v>
      </c>
      <c r="H24">
        <v>0.1</v>
      </c>
      <c r="I24">
        <v>137.66</v>
      </c>
      <c r="J24">
        <v>90.56</v>
      </c>
      <c r="K24">
        <v>47.1</v>
      </c>
      <c r="L24" t="s">
        <v>46</v>
      </c>
      <c r="M24">
        <v>0.34210000000000002</v>
      </c>
    </row>
    <row r="25" spans="1:13" x14ac:dyDescent="0.3">
      <c r="A25" t="s">
        <v>60</v>
      </c>
      <c r="B25" s="2">
        <v>45773</v>
      </c>
      <c r="C25" t="s">
        <v>32</v>
      </c>
      <c r="D25" t="s">
        <v>15</v>
      </c>
      <c r="E25" t="s">
        <v>16</v>
      </c>
      <c r="F25">
        <v>6</v>
      </c>
      <c r="G25">
        <v>231.72</v>
      </c>
      <c r="H25">
        <v>0</v>
      </c>
      <c r="I25">
        <v>1390.32</v>
      </c>
      <c r="J25">
        <v>948.9</v>
      </c>
      <c r="K25">
        <v>441.42</v>
      </c>
      <c r="L25" t="s">
        <v>17</v>
      </c>
      <c r="M25">
        <v>0.3175</v>
      </c>
    </row>
    <row r="26" spans="1:13" x14ac:dyDescent="0.3">
      <c r="A26" t="s">
        <v>61</v>
      </c>
      <c r="B26" s="2">
        <v>45822</v>
      </c>
      <c r="C26" t="s">
        <v>32</v>
      </c>
      <c r="D26" t="s">
        <v>48</v>
      </c>
      <c r="E26" t="s">
        <v>16</v>
      </c>
      <c r="F26">
        <v>3</v>
      </c>
      <c r="G26">
        <v>554.52</v>
      </c>
      <c r="H26">
        <v>0.05</v>
      </c>
      <c r="I26">
        <v>1580.38</v>
      </c>
      <c r="J26">
        <v>1074.94</v>
      </c>
      <c r="K26">
        <v>505.44</v>
      </c>
      <c r="L26" t="s">
        <v>22</v>
      </c>
      <c r="M26">
        <v>0.31979999999999997</v>
      </c>
    </row>
    <row r="27" spans="1:13" x14ac:dyDescent="0.3">
      <c r="A27" t="s">
        <v>62</v>
      </c>
      <c r="B27" s="2">
        <v>45753</v>
      </c>
      <c r="C27" t="s">
        <v>24</v>
      </c>
      <c r="D27" t="s">
        <v>20</v>
      </c>
      <c r="E27" t="s">
        <v>21</v>
      </c>
      <c r="F27">
        <v>2</v>
      </c>
      <c r="G27">
        <v>57.07</v>
      </c>
      <c r="H27">
        <v>0.15</v>
      </c>
      <c r="I27">
        <v>97.02</v>
      </c>
      <c r="J27">
        <v>63.8</v>
      </c>
      <c r="K27">
        <v>33.22</v>
      </c>
      <c r="L27" t="s">
        <v>17</v>
      </c>
      <c r="M27">
        <v>0.34239999999999998</v>
      </c>
    </row>
    <row r="28" spans="1:13" x14ac:dyDescent="0.3">
      <c r="A28" t="s">
        <v>63</v>
      </c>
      <c r="B28" s="2">
        <v>45952</v>
      </c>
      <c r="C28" t="s">
        <v>14</v>
      </c>
      <c r="D28" t="s">
        <v>48</v>
      </c>
      <c r="E28" t="s">
        <v>16</v>
      </c>
      <c r="F28">
        <v>4</v>
      </c>
      <c r="G28">
        <v>786.36</v>
      </c>
      <c r="H28">
        <v>0.15</v>
      </c>
      <c r="I28">
        <v>2673.62</v>
      </c>
      <c r="J28">
        <v>2168.27</v>
      </c>
      <c r="K28">
        <v>505.35</v>
      </c>
      <c r="L28" t="s">
        <v>58</v>
      </c>
      <c r="M28">
        <v>0.189</v>
      </c>
    </row>
    <row r="29" spans="1:13" x14ac:dyDescent="0.3">
      <c r="A29" t="s">
        <v>64</v>
      </c>
      <c r="B29" s="2">
        <v>45659</v>
      </c>
      <c r="C29" t="s">
        <v>14</v>
      </c>
      <c r="D29" t="s">
        <v>20</v>
      </c>
      <c r="E29" t="s">
        <v>21</v>
      </c>
      <c r="F29">
        <v>1</v>
      </c>
      <c r="G29">
        <v>39.07</v>
      </c>
      <c r="H29">
        <v>0.15</v>
      </c>
      <c r="I29">
        <v>33.21</v>
      </c>
      <c r="J29">
        <v>21.39</v>
      </c>
      <c r="K29">
        <v>11.82</v>
      </c>
      <c r="L29" t="s">
        <v>65</v>
      </c>
      <c r="M29">
        <v>0.35589999999999999</v>
      </c>
    </row>
    <row r="30" spans="1:13" x14ac:dyDescent="0.3">
      <c r="A30" t="s">
        <v>66</v>
      </c>
      <c r="B30" s="2">
        <v>45783</v>
      </c>
      <c r="C30" t="s">
        <v>14</v>
      </c>
      <c r="D30" t="s">
        <v>41</v>
      </c>
      <c r="E30" t="s">
        <v>21</v>
      </c>
      <c r="F30">
        <v>6</v>
      </c>
      <c r="G30">
        <v>14.08</v>
      </c>
      <c r="H30">
        <v>0</v>
      </c>
      <c r="I30">
        <v>84.48</v>
      </c>
      <c r="J30">
        <v>61.86</v>
      </c>
      <c r="K30">
        <v>22.62</v>
      </c>
      <c r="L30" t="s">
        <v>33</v>
      </c>
      <c r="M30">
        <v>0.26779999999999998</v>
      </c>
    </row>
    <row r="31" spans="1:13" x14ac:dyDescent="0.3">
      <c r="A31" t="s">
        <v>67</v>
      </c>
      <c r="B31" s="2">
        <v>45860</v>
      </c>
      <c r="C31" t="s">
        <v>24</v>
      </c>
      <c r="D31" t="s">
        <v>28</v>
      </c>
      <c r="E31" t="s">
        <v>21</v>
      </c>
      <c r="F31">
        <v>4</v>
      </c>
      <c r="G31">
        <v>117.84</v>
      </c>
      <c r="H31">
        <v>0.05</v>
      </c>
      <c r="I31">
        <v>447.79</v>
      </c>
      <c r="J31">
        <v>323.42</v>
      </c>
      <c r="K31">
        <v>124.37</v>
      </c>
      <c r="L31" t="s">
        <v>26</v>
      </c>
      <c r="M31">
        <v>0.2777</v>
      </c>
    </row>
    <row r="32" spans="1:13" x14ac:dyDescent="0.3">
      <c r="A32" t="s">
        <v>68</v>
      </c>
      <c r="B32" s="2">
        <v>45855</v>
      </c>
      <c r="C32" t="s">
        <v>14</v>
      </c>
      <c r="D32" t="s">
        <v>20</v>
      </c>
      <c r="E32" t="s">
        <v>21</v>
      </c>
      <c r="F32">
        <v>1</v>
      </c>
      <c r="G32">
        <v>94.18</v>
      </c>
      <c r="H32">
        <v>0</v>
      </c>
      <c r="I32">
        <v>94.18</v>
      </c>
      <c r="J32">
        <v>68.92</v>
      </c>
      <c r="K32">
        <v>25.26</v>
      </c>
      <c r="L32" t="s">
        <v>26</v>
      </c>
      <c r="M32">
        <v>0.26819999999999999</v>
      </c>
    </row>
    <row r="33" spans="1:13" x14ac:dyDescent="0.3">
      <c r="A33" t="s">
        <v>69</v>
      </c>
      <c r="B33" s="2">
        <v>45983</v>
      </c>
      <c r="C33" t="s">
        <v>24</v>
      </c>
      <c r="D33" t="s">
        <v>20</v>
      </c>
      <c r="E33" t="s">
        <v>21</v>
      </c>
      <c r="F33">
        <v>7</v>
      </c>
      <c r="G33">
        <v>33.58</v>
      </c>
      <c r="H33">
        <v>0.1</v>
      </c>
      <c r="I33">
        <v>211.55</v>
      </c>
      <c r="J33">
        <v>138.99</v>
      </c>
      <c r="K33">
        <v>72.56</v>
      </c>
      <c r="L33" t="s">
        <v>35</v>
      </c>
      <c r="M33">
        <v>0.34300000000000003</v>
      </c>
    </row>
    <row r="34" spans="1:13" x14ac:dyDescent="0.3">
      <c r="A34" t="s">
        <v>70</v>
      </c>
      <c r="B34" s="2">
        <v>45804</v>
      </c>
      <c r="C34" t="s">
        <v>24</v>
      </c>
      <c r="D34" t="s">
        <v>28</v>
      </c>
      <c r="E34" t="s">
        <v>21</v>
      </c>
      <c r="F34">
        <v>3</v>
      </c>
      <c r="G34">
        <v>144.32</v>
      </c>
      <c r="H34">
        <v>0.05</v>
      </c>
      <c r="I34">
        <v>411.31</v>
      </c>
      <c r="J34">
        <v>240.2</v>
      </c>
      <c r="K34">
        <v>171.11</v>
      </c>
      <c r="L34" t="s">
        <v>33</v>
      </c>
      <c r="M34">
        <v>0.41599999999999998</v>
      </c>
    </row>
    <row r="35" spans="1:13" x14ac:dyDescent="0.3">
      <c r="A35" t="s">
        <v>71</v>
      </c>
      <c r="B35" s="2">
        <v>45995</v>
      </c>
      <c r="C35" t="s">
        <v>24</v>
      </c>
      <c r="D35" t="s">
        <v>72</v>
      </c>
      <c r="E35" t="s">
        <v>16</v>
      </c>
      <c r="F35">
        <v>7</v>
      </c>
      <c r="G35">
        <v>135.34</v>
      </c>
      <c r="H35">
        <v>0.05</v>
      </c>
      <c r="I35">
        <v>900.01</v>
      </c>
      <c r="J35">
        <v>605.54</v>
      </c>
      <c r="K35">
        <v>294.47000000000003</v>
      </c>
      <c r="L35" t="s">
        <v>46</v>
      </c>
      <c r="M35">
        <v>0.32719999999999999</v>
      </c>
    </row>
    <row r="36" spans="1:13" x14ac:dyDescent="0.3">
      <c r="A36" t="s">
        <v>73</v>
      </c>
      <c r="B36" s="2">
        <v>45955</v>
      </c>
      <c r="C36" t="s">
        <v>19</v>
      </c>
      <c r="D36" t="s">
        <v>48</v>
      </c>
      <c r="E36" t="s">
        <v>16</v>
      </c>
      <c r="F36">
        <v>3</v>
      </c>
      <c r="G36">
        <v>771.69</v>
      </c>
      <c r="H36">
        <v>0</v>
      </c>
      <c r="I36">
        <v>2315.0700000000002</v>
      </c>
      <c r="J36">
        <v>1856.52</v>
      </c>
      <c r="K36">
        <v>458.55</v>
      </c>
      <c r="L36" t="s">
        <v>58</v>
      </c>
      <c r="M36">
        <v>0.1981</v>
      </c>
    </row>
    <row r="37" spans="1:13" x14ac:dyDescent="0.3">
      <c r="A37" t="s">
        <v>74</v>
      </c>
      <c r="B37" s="2">
        <v>45659</v>
      </c>
      <c r="C37" t="s">
        <v>32</v>
      </c>
      <c r="D37" t="s">
        <v>15</v>
      </c>
      <c r="E37" t="s">
        <v>16</v>
      </c>
      <c r="F37">
        <v>4</v>
      </c>
      <c r="G37">
        <v>262.23</v>
      </c>
      <c r="H37">
        <v>0.15</v>
      </c>
      <c r="I37">
        <v>891.58</v>
      </c>
      <c r="J37">
        <v>627.66999999999996</v>
      </c>
      <c r="K37">
        <v>263.91000000000003</v>
      </c>
      <c r="L37" t="s">
        <v>65</v>
      </c>
      <c r="M37">
        <v>0.29599999999999999</v>
      </c>
    </row>
    <row r="38" spans="1:13" x14ac:dyDescent="0.3">
      <c r="A38" t="s">
        <v>75</v>
      </c>
      <c r="B38" s="2">
        <v>45666</v>
      </c>
      <c r="C38" t="s">
        <v>32</v>
      </c>
      <c r="D38" t="s">
        <v>72</v>
      </c>
      <c r="E38" t="s">
        <v>16</v>
      </c>
      <c r="F38">
        <v>6</v>
      </c>
      <c r="G38">
        <v>323.27999999999997</v>
      </c>
      <c r="H38">
        <v>0.15</v>
      </c>
      <c r="I38">
        <v>1648.73</v>
      </c>
      <c r="J38">
        <v>1206.78</v>
      </c>
      <c r="K38">
        <v>441.95</v>
      </c>
      <c r="L38" t="s">
        <v>65</v>
      </c>
      <c r="M38">
        <v>0.2681</v>
      </c>
    </row>
    <row r="39" spans="1:13" x14ac:dyDescent="0.3">
      <c r="A39" t="s">
        <v>76</v>
      </c>
      <c r="B39" s="2">
        <v>45777</v>
      </c>
      <c r="C39" t="s">
        <v>32</v>
      </c>
      <c r="D39" t="s">
        <v>20</v>
      </c>
      <c r="E39" t="s">
        <v>21</v>
      </c>
      <c r="F39">
        <v>3</v>
      </c>
      <c r="G39">
        <v>93.97</v>
      </c>
      <c r="H39">
        <v>0.1</v>
      </c>
      <c r="I39">
        <v>253.72</v>
      </c>
      <c r="J39">
        <v>201.17</v>
      </c>
      <c r="K39">
        <v>52.55</v>
      </c>
      <c r="L39" t="s">
        <v>17</v>
      </c>
      <c r="M39">
        <v>0.20710000000000001</v>
      </c>
    </row>
    <row r="40" spans="1:13" x14ac:dyDescent="0.3">
      <c r="A40" t="s">
        <v>77</v>
      </c>
      <c r="B40" s="2">
        <v>45997</v>
      </c>
      <c r="C40" t="s">
        <v>14</v>
      </c>
      <c r="D40" t="s">
        <v>72</v>
      </c>
      <c r="E40" t="s">
        <v>16</v>
      </c>
      <c r="F40">
        <v>4</v>
      </c>
      <c r="G40">
        <v>111.88</v>
      </c>
      <c r="H40">
        <v>0</v>
      </c>
      <c r="I40">
        <v>447.52</v>
      </c>
      <c r="J40">
        <v>356.07</v>
      </c>
      <c r="K40">
        <v>91.45</v>
      </c>
      <c r="L40" t="s">
        <v>46</v>
      </c>
      <c r="M40">
        <v>0.20430000000000001</v>
      </c>
    </row>
    <row r="41" spans="1:13" x14ac:dyDescent="0.3">
      <c r="A41" t="s">
        <v>78</v>
      </c>
      <c r="B41" s="2">
        <v>45995</v>
      </c>
      <c r="C41" t="s">
        <v>14</v>
      </c>
      <c r="D41" t="s">
        <v>20</v>
      </c>
      <c r="E41" t="s">
        <v>21</v>
      </c>
      <c r="F41">
        <v>6</v>
      </c>
      <c r="G41">
        <v>114.31</v>
      </c>
      <c r="H41">
        <v>0.15</v>
      </c>
      <c r="I41">
        <v>582.98</v>
      </c>
      <c r="J41">
        <v>377.85</v>
      </c>
      <c r="K41">
        <v>205.13</v>
      </c>
      <c r="L41" t="s">
        <v>46</v>
      </c>
      <c r="M41">
        <v>0.35189999999999999</v>
      </c>
    </row>
    <row r="42" spans="1:13" x14ac:dyDescent="0.3">
      <c r="A42" t="s">
        <v>79</v>
      </c>
      <c r="B42" s="2">
        <v>45946</v>
      </c>
      <c r="C42" t="s">
        <v>14</v>
      </c>
      <c r="D42" t="s">
        <v>25</v>
      </c>
      <c r="E42" t="s">
        <v>21</v>
      </c>
      <c r="F42">
        <v>3</v>
      </c>
      <c r="G42">
        <v>114.75</v>
      </c>
      <c r="H42">
        <v>0</v>
      </c>
      <c r="I42">
        <v>344.25</v>
      </c>
      <c r="J42">
        <v>258.51</v>
      </c>
      <c r="K42">
        <v>85.74</v>
      </c>
      <c r="L42" t="s">
        <v>58</v>
      </c>
      <c r="M42">
        <v>0.24909999999999999</v>
      </c>
    </row>
    <row r="43" spans="1:13" x14ac:dyDescent="0.3">
      <c r="A43" t="s">
        <v>80</v>
      </c>
      <c r="B43" s="2">
        <v>45785</v>
      </c>
      <c r="C43" t="s">
        <v>32</v>
      </c>
      <c r="D43" t="s">
        <v>28</v>
      </c>
      <c r="E43" t="s">
        <v>21</v>
      </c>
      <c r="F43">
        <v>4</v>
      </c>
      <c r="G43">
        <v>102.8</v>
      </c>
      <c r="H43">
        <v>0.1</v>
      </c>
      <c r="I43">
        <v>370.08</v>
      </c>
      <c r="J43">
        <v>278.68</v>
      </c>
      <c r="K43">
        <v>91.4</v>
      </c>
      <c r="L43" t="s">
        <v>33</v>
      </c>
      <c r="M43">
        <v>0.247</v>
      </c>
    </row>
    <row r="44" spans="1:13" x14ac:dyDescent="0.3">
      <c r="A44" t="s">
        <v>81</v>
      </c>
      <c r="B44" s="2">
        <v>45815</v>
      </c>
      <c r="C44" t="s">
        <v>14</v>
      </c>
      <c r="D44" t="s">
        <v>72</v>
      </c>
      <c r="E44" t="s">
        <v>16</v>
      </c>
      <c r="F44">
        <v>4</v>
      </c>
      <c r="G44">
        <v>222.29</v>
      </c>
      <c r="H44">
        <v>0.05</v>
      </c>
      <c r="I44">
        <v>844.7</v>
      </c>
      <c r="J44">
        <v>540.70000000000005</v>
      </c>
      <c r="K44">
        <v>304</v>
      </c>
      <c r="L44" t="s">
        <v>22</v>
      </c>
      <c r="M44">
        <v>0.3599</v>
      </c>
    </row>
    <row r="45" spans="1:13" x14ac:dyDescent="0.3">
      <c r="A45" t="s">
        <v>82</v>
      </c>
      <c r="B45" s="2">
        <v>45934</v>
      </c>
      <c r="C45" t="s">
        <v>14</v>
      </c>
      <c r="D45" t="s">
        <v>25</v>
      </c>
      <c r="E45" t="s">
        <v>21</v>
      </c>
      <c r="F45">
        <v>5</v>
      </c>
      <c r="G45">
        <v>93.28</v>
      </c>
      <c r="H45">
        <v>0.15</v>
      </c>
      <c r="I45">
        <v>396.44</v>
      </c>
      <c r="J45">
        <v>271.27</v>
      </c>
      <c r="K45">
        <v>125.17</v>
      </c>
      <c r="L45" t="s">
        <v>58</v>
      </c>
      <c r="M45">
        <v>0.31569999999999998</v>
      </c>
    </row>
    <row r="46" spans="1:13" x14ac:dyDescent="0.3">
      <c r="A46" t="s">
        <v>83</v>
      </c>
      <c r="B46" s="2">
        <v>45961</v>
      </c>
      <c r="C46" t="s">
        <v>19</v>
      </c>
      <c r="D46" t="s">
        <v>48</v>
      </c>
      <c r="E46" t="s">
        <v>16</v>
      </c>
      <c r="F46">
        <v>4</v>
      </c>
      <c r="G46">
        <v>984.8</v>
      </c>
      <c r="H46">
        <v>0.1</v>
      </c>
      <c r="I46">
        <v>3545.28</v>
      </c>
      <c r="J46">
        <v>2252.12</v>
      </c>
      <c r="K46">
        <v>1293.1600000000001</v>
      </c>
      <c r="L46" t="s">
        <v>58</v>
      </c>
      <c r="M46">
        <v>0.36480000000000001</v>
      </c>
    </row>
    <row r="47" spans="1:13" x14ac:dyDescent="0.3">
      <c r="A47" t="s">
        <v>84</v>
      </c>
      <c r="B47" s="2">
        <v>45815</v>
      </c>
      <c r="C47" t="s">
        <v>32</v>
      </c>
      <c r="D47" t="s">
        <v>41</v>
      </c>
      <c r="E47" t="s">
        <v>21</v>
      </c>
      <c r="F47">
        <v>3</v>
      </c>
      <c r="G47">
        <v>60.42</v>
      </c>
      <c r="H47">
        <v>0</v>
      </c>
      <c r="I47">
        <v>181.26</v>
      </c>
      <c r="J47">
        <v>148.4</v>
      </c>
      <c r="K47">
        <v>32.86</v>
      </c>
      <c r="L47" t="s">
        <v>22</v>
      </c>
      <c r="M47">
        <v>0.18129999999999999</v>
      </c>
    </row>
    <row r="48" spans="1:13" x14ac:dyDescent="0.3">
      <c r="A48" t="s">
        <v>85</v>
      </c>
      <c r="B48" s="2">
        <v>46006</v>
      </c>
      <c r="C48" t="s">
        <v>32</v>
      </c>
      <c r="D48" t="s">
        <v>25</v>
      </c>
      <c r="E48" t="s">
        <v>21</v>
      </c>
      <c r="F48">
        <v>5</v>
      </c>
      <c r="G48">
        <v>144.85</v>
      </c>
      <c r="H48">
        <v>0.1</v>
      </c>
      <c r="I48">
        <v>651.83000000000004</v>
      </c>
      <c r="J48">
        <v>527.16</v>
      </c>
      <c r="K48">
        <v>124.67</v>
      </c>
      <c r="L48" t="s">
        <v>46</v>
      </c>
      <c r="M48">
        <v>0.1913</v>
      </c>
    </row>
    <row r="49" spans="1:13" x14ac:dyDescent="0.3">
      <c r="A49" t="s">
        <v>86</v>
      </c>
      <c r="B49" s="2">
        <v>45910</v>
      </c>
      <c r="C49" t="s">
        <v>32</v>
      </c>
      <c r="D49" t="s">
        <v>25</v>
      </c>
      <c r="E49" t="s">
        <v>21</v>
      </c>
      <c r="F49">
        <v>5</v>
      </c>
      <c r="G49">
        <v>104.4</v>
      </c>
      <c r="H49">
        <v>0.15</v>
      </c>
      <c r="I49">
        <v>443.7</v>
      </c>
      <c r="J49">
        <v>265.37</v>
      </c>
      <c r="K49">
        <v>178.33</v>
      </c>
      <c r="L49" t="s">
        <v>38</v>
      </c>
      <c r="M49">
        <v>0.40189999999999998</v>
      </c>
    </row>
    <row r="50" spans="1:13" x14ac:dyDescent="0.3">
      <c r="A50" t="s">
        <v>87</v>
      </c>
      <c r="B50" s="2">
        <v>45880</v>
      </c>
      <c r="C50" t="s">
        <v>14</v>
      </c>
      <c r="D50" t="s">
        <v>72</v>
      </c>
      <c r="E50" t="s">
        <v>16</v>
      </c>
      <c r="F50">
        <v>7</v>
      </c>
      <c r="G50">
        <v>159.80000000000001</v>
      </c>
      <c r="H50">
        <v>0.05</v>
      </c>
      <c r="I50">
        <v>1062.67</v>
      </c>
      <c r="J50">
        <v>711.4</v>
      </c>
      <c r="K50">
        <v>351.27</v>
      </c>
      <c r="L50" t="s">
        <v>44</v>
      </c>
      <c r="M50">
        <v>0.3306</v>
      </c>
    </row>
    <row r="51" spans="1:13" x14ac:dyDescent="0.3">
      <c r="A51" t="s">
        <v>88</v>
      </c>
      <c r="B51" s="2">
        <v>45999</v>
      </c>
      <c r="C51" t="s">
        <v>19</v>
      </c>
      <c r="D51" t="s">
        <v>37</v>
      </c>
      <c r="E51" t="s">
        <v>16</v>
      </c>
      <c r="F51">
        <v>3</v>
      </c>
      <c r="G51">
        <v>316.72000000000003</v>
      </c>
      <c r="H51">
        <v>0</v>
      </c>
      <c r="I51">
        <v>950.16</v>
      </c>
      <c r="J51">
        <v>691.34</v>
      </c>
      <c r="K51">
        <v>258.82</v>
      </c>
      <c r="L51" t="s">
        <v>46</v>
      </c>
      <c r="M51">
        <v>0.27239999999999998</v>
      </c>
    </row>
    <row r="52" spans="1:13" x14ac:dyDescent="0.3">
      <c r="A52" t="s">
        <v>89</v>
      </c>
      <c r="B52" s="2">
        <v>45956</v>
      </c>
      <c r="C52" t="s">
        <v>14</v>
      </c>
      <c r="D52" t="s">
        <v>37</v>
      </c>
      <c r="E52" t="s">
        <v>16</v>
      </c>
      <c r="F52">
        <v>7</v>
      </c>
      <c r="G52">
        <v>300.68</v>
      </c>
      <c r="H52">
        <v>0.1</v>
      </c>
      <c r="I52">
        <v>1894.28</v>
      </c>
      <c r="J52">
        <v>1435.46</v>
      </c>
      <c r="K52">
        <v>458.82</v>
      </c>
      <c r="L52" t="s">
        <v>58</v>
      </c>
      <c r="M52">
        <v>0.2422</v>
      </c>
    </row>
    <row r="53" spans="1:13" x14ac:dyDescent="0.3">
      <c r="A53" t="s">
        <v>90</v>
      </c>
      <c r="B53" s="2">
        <v>45670</v>
      </c>
      <c r="C53" t="s">
        <v>24</v>
      </c>
      <c r="D53" t="s">
        <v>72</v>
      </c>
      <c r="E53" t="s">
        <v>16</v>
      </c>
      <c r="F53">
        <v>7</v>
      </c>
      <c r="G53">
        <v>166.33</v>
      </c>
      <c r="H53">
        <v>0.1</v>
      </c>
      <c r="I53">
        <v>1047.8800000000001</v>
      </c>
      <c r="J53">
        <v>811.51</v>
      </c>
      <c r="K53">
        <v>236.37</v>
      </c>
      <c r="L53" t="s">
        <v>65</v>
      </c>
      <c r="M53">
        <v>0.22559999999999999</v>
      </c>
    </row>
    <row r="54" spans="1:13" x14ac:dyDescent="0.3">
      <c r="A54" t="s">
        <v>91</v>
      </c>
      <c r="B54" s="2">
        <v>45799</v>
      </c>
      <c r="C54" t="s">
        <v>24</v>
      </c>
      <c r="D54" t="s">
        <v>37</v>
      </c>
      <c r="E54" t="s">
        <v>16</v>
      </c>
      <c r="F54">
        <v>7</v>
      </c>
      <c r="G54">
        <v>295.47000000000003</v>
      </c>
      <c r="H54">
        <v>0.1</v>
      </c>
      <c r="I54">
        <v>1861.46</v>
      </c>
      <c r="J54">
        <v>1370.02</v>
      </c>
      <c r="K54">
        <v>491.44</v>
      </c>
      <c r="L54" t="s">
        <v>33</v>
      </c>
      <c r="M54">
        <v>0.26400000000000001</v>
      </c>
    </row>
    <row r="55" spans="1:13" x14ac:dyDescent="0.3">
      <c r="A55" t="s">
        <v>92</v>
      </c>
      <c r="B55" s="2">
        <v>45999</v>
      </c>
      <c r="C55" t="s">
        <v>19</v>
      </c>
      <c r="D55" t="s">
        <v>20</v>
      </c>
      <c r="E55" t="s">
        <v>21</v>
      </c>
      <c r="F55">
        <v>7</v>
      </c>
      <c r="G55">
        <v>27.62</v>
      </c>
      <c r="H55">
        <v>0.05</v>
      </c>
      <c r="I55">
        <v>183.67</v>
      </c>
      <c r="J55">
        <v>125.86</v>
      </c>
      <c r="K55">
        <v>57.81</v>
      </c>
      <c r="L55" t="s">
        <v>46</v>
      </c>
      <c r="M55">
        <v>0.31469999999999998</v>
      </c>
    </row>
    <row r="56" spans="1:13" x14ac:dyDescent="0.3">
      <c r="A56" t="s">
        <v>93</v>
      </c>
      <c r="B56" s="2">
        <v>45999</v>
      </c>
      <c r="C56" t="s">
        <v>32</v>
      </c>
      <c r="D56" t="s">
        <v>48</v>
      </c>
      <c r="E56" t="s">
        <v>16</v>
      </c>
      <c r="F56">
        <v>2</v>
      </c>
      <c r="G56">
        <v>902.72</v>
      </c>
      <c r="H56">
        <v>0</v>
      </c>
      <c r="I56">
        <v>1805.44</v>
      </c>
      <c r="J56">
        <v>1303.17</v>
      </c>
      <c r="K56">
        <v>502.27</v>
      </c>
      <c r="L56" t="s">
        <v>46</v>
      </c>
      <c r="M56">
        <v>0.2782</v>
      </c>
    </row>
    <row r="57" spans="1:13" x14ac:dyDescent="0.3">
      <c r="A57" t="s">
        <v>94</v>
      </c>
      <c r="B57" s="2">
        <v>45921</v>
      </c>
      <c r="C57" t="s">
        <v>32</v>
      </c>
      <c r="D57" t="s">
        <v>41</v>
      </c>
      <c r="E57" t="s">
        <v>21</v>
      </c>
      <c r="F57">
        <v>2</v>
      </c>
      <c r="G57">
        <v>63.82</v>
      </c>
      <c r="H57">
        <v>0</v>
      </c>
      <c r="I57">
        <v>127.64</v>
      </c>
      <c r="J57">
        <v>77.92</v>
      </c>
      <c r="K57">
        <v>49.72</v>
      </c>
      <c r="L57" t="s">
        <v>38</v>
      </c>
      <c r="M57">
        <v>0.38950000000000001</v>
      </c>
    </row>
    <row r="58" spans="1:13" x14ac:dyDescent="0.3">
      <c r="A58" t="s">
        <v>95</v>
      </c>
      <c r="B58" s="2">
        <v>46007</v>
      </c>
      <c r="C58" t="s">
        <v>19</v>
      </c>
      <c r="D58" t="s">
        <v>41</v>
      </c>
      <c r="E58" t="s">
        <v>21</v>
      </c>
      <c r="F58">
        <v>4</v>
      </c>
      <c r="G58">
        <v>72.81</v>
      </c>
      <c r="H58">
        <v>0.05</v>
      </c>
      <c r="I58">
        <v>276.68</v>
      </c>
      <c r="J58">
        <v>216.39</v>
      </c>
      <c r="K58">
        <v>60.29</v>
      </c>
      <c r="L58" t="s">
        <v>46</v>
      </c>
      <c r="M58">
        <v>0.21790000000000001</v>
      </c>
    </row>
    <row r="59" spans="1:13" x14ac:dyDescent="0.3">
      <c r="A59" t="s">
        <v>96</v>
      </c>
      <c r="B59" s="2">
        <v>45763</v>
      </c>
      <c r="C59" t="s">
        <v>14</v>
      </c>
      <c r="D59" t="s">
        <v>20</v>
      </c>
      <c r="E59" t="s">
        <v>21</v>
      </c>
      <c r="F59">
        <v>7</v>
      </c>
      <c r="G59">
        <v>38.14</v>
      </c>
      <c r="H59">
        <v>0</v>
      </c>
      <c r="I59">
        <v>266.98</v>
      </c>
      <c r="J59">
        <v>216.97</v>
      </c>
      <c r="K59">
        <v>50.01</v>
      </c>
      <c r="L59" t="s">
        <v>17</v>
      </c>
      <c r="M59">
        <v>0.18729999999999999</v>
      </c>
    </row>
    <row r="60" spans="1:13" x14ac:dyDescent="0.3">
      <c r="A60" t="s">
        <v>97</v>
      </c>
      <c r="B60" s="2">
        <v>46003</v>
      </c>
      <c r="C60" t="s">
        <v>32</v>
      </c>
      <c r="D60" t="s">
        <v>20</v>
      </c>
      <c r="E60" t="s">
        <v>21</v>
      </c>
      <c r="F60">
        <v>1</v>
      </c>
      <c r="G60">
        <v>62.89</v>
      </c>
      <c r="H60">
        <v>0</v>
      </c>
      <c r="I60">
        <v>62.89</v>
      </c>
      <c r="J60">
        <v>47.71</v>
      </c>
      <c r="K60">
        <v>15.18</v>
      </c>
      <c r="L60" t="s">
        <v>46</v>
      </c>
      <c r="M60">
        <v>0.2414</v>
      </c>
    </row>
    <row r="61" spans="1:13" x14ac:dyDescent="0.3">
      <c r="A61" t="s">
        <v>98</v>
      </c>
      <c r="B61" s="2">
        <v>45786</v>
      </c>
      <c r="C61" t="s">
        <v>14</v>
      </c>
      <c r="D61" t="s">
        <v>37</v>
      </c>
      <c r="E61" t="s">
        <v>16</v>
      </c>
      <c r="F61">
        <v>5</v>
      </c>
      <c r="G61">
        <v>165.07</v>
      </c>
      <c r="H61">
        <v>0</v>
      </c>
      <c r="I61">
        <v>825.35</v>
      </c>
      <c r="J61">
        <v>615.08000000000004</v>
      </c>
      <c r="K61">
        <v>210.27</v>
      </c>
      <c r="L61" t="s">
        <v>33</v>
      </c>
      <c r="M61">
        <v>0.25480000000000003</v>
      </c>
    </row>
    <row r="62" spans="1:13" x14ac:dyDescent="0.3">
      <c r="A62" t="s">
        <v>99</v>
      </c>
      <c r="B62" s="2">
        <v>45746</v>
      </c>
      <c r="C62" t="s">
        <v>24</v>
      </c>
      <c r="D62" t="s">
        <v>37</v>
      </c>
      <c r="E62" t="s">
        <v>16</v>
      </c>
      <c r="F62">
        <v>1</v>
      </c>
      <c r="G62">
        <v>277.13</v>
      </c>
      <c r="H62">
        <v>0</v>
      </c>
      <c r="I62">
        <v>277.13</v>
      </c>
      <c r="J62">
        <v>166.98</v>
      </c>
      <c r="K62">
        <v>110.15</v>
      </c>
      <c r="L62" t="s">
        <v>49</v>
      </c>
      <c r="M62">
        <v>0.39750000000000002</v>
      </c>
    </row>
    <row r="63" spans="1:13" x14ac:dyDescent="0.3">
      <c r="A63" t="s">
        <v>100</v>
      </c>
      <c r="B63" s="2">
        <v>45726</v>
      </c>
      <c r="C63" t="s">
        <v>14</v>
      </c>
      <c r="D63" t="s">
        <v>28</v>
      </c>
      <c r="E63" t="s">
        <v>21</v>
      </c>
      <c r="F63">
        <v>5</v>
      </c>
      <c r="G63">
        <v>153.08000000000001</v>
      </c>
      <c r="H63">
        <v>0.05</v>
      </c>
      <c r="I63">
        <v>727.13</v>
      </c>
      <c r="J63">
        <v>536.41</v>
      </c>
      <c r="K63">
        <v>190.72</v>
      </c>
      <c r="L63" t="s">
        <v>49</v>
      </c>
      <c r="M63">
        <v>0.26229999999999998</v>
      </c>
    </row>
    <row r="64" spans="1:13" x14ac:dyDescent="0.3">
      <c r="A64" t="s">
        <v>101</v>
      </c>
      <c r="B64" s="2">
        <v>45743</v>
      </c>
      <c r="C64" t="s">
        <v>32</v>
      </c>
      <c r="D64" t="s">
        <v>28</v>
      </c>
      <c r="E64" t="s">
        <v>21</v>
      </c>
      <c r="F64">
        <v>7</v>
      </c>
      <c r="G64">
        <v>43.83</v>
      </c>
      <c r="H64">
        <v>0.05</v>
      </c>
      <c r="I64">
        <v>291.47000000000003</v>
      </c>
      <c r="J64">
        <v>180.15</v>
      </c>
      <c r="K64">
        <v>111.32</v>
      </c>
      <c r="L64" t="s">
        <v>49</v>
      </c>
      <c r="M64">
        <v>0.38190000000000002</v>
      </c>
    </row>
    <row r="65" spans="1:13" x14ac:dyDescent="0.3">
      <c r="A65" t="s">
        <v>102</v>
      </c>
      <c r="B65" s="2">
        <v>45861</v>
      </c>
      <c r="C65" t="s">
        <v>24</v>
      </c>
      <c r="D65" t="s">
        <v>28</v>
      </c>
      <c r="E65" t="s">
        <v>21</v>
      </c>
      <c r="F65">
        <v>6</v>
      </c>
      <c r="G65">
        <v>51.98</v>
      </c>
      <c r="H65">
        <v>0</v>
      </c>
      <c r="I65">
        <v>311.88</v>
      </c>
      <c r="J65">
        <v>204.2</v>
      </c>
      <c r="K65">
        <v>107.68</v>
      </c>
      <c r="L65" t="s">
        <v>26</v>
      </c>
      <c r="M65">
        <v>0.3453</v>
      </c>
    </row>
    <row r="66" spans="1:13" x14ac:dyDescent="0.3">
      <c r="A66" t="s">
        <v>103</v>
      </c>
      <c r="B66" s="2">
        <v>45879</v>
      </c>
      <c r="C66" t="s">
        <v>32</v>
      </c>
      <c r="D66" t="s">
        <v>37</v>
      </c>
      <c r="E66" t="s">
        <v>16</v>
      </c>
      <c r="F66">
        <v>2</v>
      </c>
      <c r="G66">
        <v>292.39999999999998</v>
      </c>
      <c r="H66">
        <v>0.05</v>
      </c>
      <c r="I66">
        <v>555.55999999999995</v>
      </c>
      <c r="J66">
        <v>345.32</v>
      </c>
      <c r="K66">
        <v>210.24</v>
      </c>
      <c r="L66" t="s">
        <v>44</v>
      </c>
      <c r="M66">
        <v>0.37840000000000001</v>
      </c>
    </row>
    <row r="67" spans="1:13" x14ac:dyDescent="0.3">
      <c r="A67" t="s">
        <v>104</v>
      </c>
      <c r="B67" s="2">
        <v>45880</v>
      </c>
      <c r="C67" t="s">
        <v>14</v>
      </c>
      <c r="D67" t="s">
        <v>15</v>
      </c>
      <c r="E67" t="s">
        <v>16</v>
      </c>
      <c r="F67">
        <v>2</v>
      </c>
      <c r="G67">
        <v>469.45</v>
      </c>
      <c r="H67">
        <v>0.05</v>
      </c>
      <c r="I67">
        <v>891.96</v>
      </c>
      <c r="J67">
        <v>527.04</v>
      </c>
      <c r="K67">
        <v>364.92</v>
      </c>
      <c r="L67" t="s">
        <v>44</v>
      </c>
      <c r="M67">
        <v>0.40910000000000002</v>
      </c>
    </row>
    <row r="68" spans="1:13" x14ac:dyDescent="0.3">
      <c r="A68" t="s">
        <v>105</v>
      </c>
      <c r="B68" s="2">
        <v>45661</v>
      </c>
      <c r="C68" t="s">
        <v>24</v>
      </c>
      <c r="D68" t="s">
        <v>37</v>
      </c>
      <c r="E68" t="s">
        <v>16</v>
      </c>
      <c r="F68">
        <v>3</v>
      </c>
      <c r="G68">
        <v>295.97000000000003</v>
      </c>
      <c r="H68">
        <v>0.1</v>
      </c>
      <c r="I68">
        <v>799.12</v>
      </c>
      <c r="J68">
        <v>589.82000000000005</v>
      </c>
      <c r="K68">
        <v>209.3</v>
      </c>
      <c r="L68" t="s">
        <v>65</v>
      </c>
      <c r="M68">
        <v>0.26190000000000002</v>
      </c>
    </row>
    <row r="69" spans="1:13" x14ac:dyDescent="0.3">
      <c r="A69" t="s">
        <v>106</v>
      </c>
      <c r="B69" s="2">
        <v>45997</v>
      </c>
      <c r="C69" t="s">
        <v>24</v>
      </c>
      <c r="D69" t="s">
        <v>72</v>
      </c>
      <c r="E69" t="s">
        <v>16</v>
      </c>
      <c r="F69">
        <v>7</v>
      </c>
      <c r="G69">
        <v>335.51</v>
      </c>
      <c r="H69">
        <v>0.1</v>
      </c>
      <c r="I69">
        <v>2113.71</v>
      </c>
      <c r="J69">
        <v>1548.79</v>
      </c>
      <c r="K69">
        <v>564.91999999999996</v>
      </c>
      <c r="L69" t="s">
        <v>46</v>
      </c>
      <c r="M69">
        <v>0.26729999999999998</v>
      </c>
    </row>
    <row r="70" spans="1:13" x14ac:dyDescent="0.3">
      <c r="A70" t="s">
        <v>107</v>
      </c>
      <c r="B70" s="2">
        <v>45758</v>
      </c>
      <c r="C70" t="s">
        <v>24</v>
      </c>
      <c r="D70" t="s">
        <v>41</v>
      </c>
      <c r="E70" t="s">
        <v>21</v>
      </c>
      <c r="F70">
        <v>2</v>
      </c>
      <c r="G70">
        <v>48.12</v>
      </c>
      <c r="H70">
        <v>0</v>
      </c>
      <c r="I70">
        <v>96.24</v>
      </c>
      <c r="J70">
        <v>74.56</v>
      </c>
      <c r="K70">
        <v>21.68</v>
      </c>
      <c r="L70" t="s">
        <v>17</v>
      </c>
      <c r="M70">
        <v>0.2253</v>
      </c>
    </row>
    <row r="71" spans="1:13" x14ac:dyDescent="0.3">
      <c r="A71" t="s">
        <v>108</v>
      </c>
      <c r="B71" s="2">
        <v>45669</v>
      </c>
      <c r="C71" t="s">
        <v>19</v>
      </c>
      <c r="D71" t="s">
        <v>20</v>
      </c>
      <c r="E71" t="s">
        <v>21</v>
      </c>
      <c r="F71">
        <v>1</v>
      </c>
      <c r="G71">
        <v>116.31</v>
      </c>
      <c r="H71">
        <v>0.15</v>
      </c>
      <c r="I71">
        <v>98.86</v>
      </c>
      <c r="J71">
        <v>61.98</v>
      </c>
      <c r="K71">
        <v>36.880000000000003</v>
      </c>
      <c r="L71" t="s">
        <v>65</v>
      </c>
      <c r="M71">
        <v>0.37309999999999999</v>
      </c>
    </row>
    <row r="72" spans="1:13" x14ac:dyDescent="0.3">
      <c r="A72" t="s">
        <v>109</v>
      </c>
      <c r="B72" s="2">
        <v>45747</v>
      </c>
      <c r="C72" t="s">
        <v>24</v>
      </c>
      <c r="D72" t="s">
        <v>25</v>
      </c>
      <c r="E72" t="s">
        <v>21</v>
      </c>
      <c r="F72">
        <v>2</v>
      </c>
      <c r="G72">
        <v>35.07</v>
      </c>
      <c r="H72">
        <v>0.05</v>
      </c>
      <c r="I72">
        <v>66.63</v>
      </c>
      <c r="J72">
        <v>44.03</v>
      </c>
      <c r="K72">
        <v>22.6</v>
      </c>
      <c r="L72" t="s">
        <v>49</v>
      </c>
      <c r="M72">
        <v>0.3392</v>
      </c>
    </row>
    <row r="73" spans="1:13" x14ac:dyDescent="0.3">
      <c r="A73" t="s">
        <v>110</v>
      </c>
      <c r="B73" s="2">
        <v>45853</v>
      </c>
      <c r="C73" t="s">
        <v>14</v>
      </c>
      <c r="D73" t="s">
        <v>28</v>
      </c>
      <c r="E73" t="s">
        <v>21</v>
      </c>
      <c r="F73">
        <v>2</v>
      </c>
      <c r="G73">
        <v>161.1</v>
      </c>
      <c r="H73">
        <v>0</v>
      </c>
      <c r="I73">
        <v>322.2</v>
      </c>
      <c r="J73">
        <v>207.03</v>
      </c>
      <c r="K73">
        <v>115.17</v>
      </c>
      <c r="L73" t="s">
        <v>26</v>
      </c>
      <c r="M73">
        <v>0.3574</v>
      </c>
    </row>
    <row r="74" spans="1:13" x14ac:dyDescent="0.3">
      <c r="A74" t="s">
        <v>111</v>
      </c>
      <c r="B74" s="2">
        <v>45934</v>
      </c>
      <c r="C74" t="s">
        <v>32</v>
      </c>
      <c r="D74" t="s">
        <v>28</v>
      </c>
      <c r="E74" t="s">
        <v>21</v>
      </c>
      <c r="F74">
        <v>2</v>
      </c>
      <c r="G74">
        <v>151.35</v>
      </c>
      <c r="H74">
        <v>0.1</v>
      </c>
      <c r="I74">
        <v>272.43</v>
      </c>
      <c r="J74">
        <v>206.07</v>
      </c>
      <c r="K74">
        <v>66.36</v>
      </c>
      <c r="L74" t="s">
        <v>58</v>
      </c>
      <c r="M74">
        <v>0.24360000000000001</v>
      </c>
    </row>
    <row r="75" spans="1:13" x14ac:dyDescent="0.3">
      <c r="A75" t="s">
        <v>112</v>
      </c>
      <c r="B75" s="2">
        <v>45834</v>
      </c>
      <c r="C75" t="s">
        <v>19</v>
      </c>
      <c r="D75" t="s">
        <v>48</v>
      </c>
      <c r="E75" t="s">
        <v>16</v>
      </c>
      <c r="F75">
        <v>4</v>
      </c>
      <c r="G75">
        <v>665.34</v>
      </c>
      <c r="H75">
        <v>0.1</v>
      </c>
      <c r="I75">
        <v>2395.2199999999998</v>
      </c>
      <c r="J75">
        <v>1853.04</v>
      </c>
      <c r="K75">
        <v>542.17999999999995</v>
      </c>
      <c r="L75" t="s">
        <v>22</v>
      </c>
      <c r="M75">
        <v>0.22639999999999999</v>
      </c>
    </row>
    <row r="76" spans="1:13" x14ac:dyDescent="0.3">
      <c r="A76" t="s">
        <v>113</v>
      </c>
      <c r="B76" s="2">
        <v>45847</v>
      </c>
      <c r="C76" t="s">
        <v>24</v>
      </c>
      <c r="D76" t="s">
        <v>72</v>
      </c>
      <c r="E76" t="s">
        <v>16</v>
      </c>
      <c r="F76">
        <v>4</v>
      </c>
      <c r="G76">
        <v>186.72</v>
      </c>
      <c r="H76">
        <v>0.1</v>
      </c>
      <c r="I76">
        <v>672.19</v>
      </c>
      <c r="J76">
        <v>444.85</v>
      </c>
      <c r="K76">
        <v>227.34</v>
      </c>
      <c r="L76" t="s">
        <v>26</v>
      </c>
      <c r="M76">
        <v>0.3382</v>
      </c>
    </row>
    <row r="77" spans="1:13" x14ac:dyDescent="0.3">
      <c r="A77" t="s">
        <v>114</v>
      </c>
      <c r="B77" s="2">
        <v>46018</v>
      </c>
      <c r="C77" t="s">
        <v>14</v>
      </c>
      <c r="D77" t="s">
        <v>28</v>
      </c>
      <c r="E77" t="s">
        <v>21</v>
      </c>
      <c r="F77">
        <v>4</v>
      </c>
      <c r="G77">
        <v>114.36</v>
      </c>
      <c r="H77">
        <v>0.1</v>
      </c>
      <c r="I77">
        <v>411.7</v>
      </c>
      <c r="J77">
        <v>313.33999999999997</v>
      </c>
      <c r="K77">
        <v>98.36</v>
      </c>
      <c r="L77" t="s">
        <v>46</v>
      </c>
      <c r="M77">
        <v>0.2389</v>
      </c>
    </row>
    <row r="78" spans="1:13" x14ac:dyDescent="0.3">
      <c r="A78" t="s">
        <v>115</v>
      </c>
      <c r="B78" s="2">
        <v>45844</v>
      </c>
      <c r="C78" t="s">
        <v>19</v>
      </c>
      <c r="D78" t="s">
        <v>48</v>
      </c>
      <c r="E78" t="s">
        <v>16</v>
      </c>
      <c r="F78">
        <v>1</v>
      </c>
      <c r="G78">
        <v>878.41</v>
      </c>
      <c r="H78">
        <v>0.1</v>
      </c>
      <c r="I78">
        <v>790.57</v>
      </c>
      <c r="J78">
        <v>519.26</v>
      </c>
      <c r="K78">
        <v>271.31</v>
      </c>
      <c r="L78" t="s">
        <v>26</v>
      </c>
      <c r="M78">
        <v>0.34320000000000001</v>
      </c>
    </row>
    <row r="79" spans="1:13" x14ac:dyDescent="0.3">
      <c r="A79" t="s">
        <v>116</v>
      </c>
      <c r="B79" s="2">
        <v>45941</v>
      </c>
      <c r="C79" t="s">
        <v>14</v>
      </c>
      <c r="D79" t="s">
        <v>48</v>
      </c>
      <c r="E79" t="s">
        <v>16</v>
      </c>
      <c r="F79">
        <v>4</v>
      </c>
      <c r="G79">
        <v>557.04</v>
      </c>
      <c r="H79">
        <v>0.15</v>
      </c>
      <c r="I79">
        <v>1893.94</v>
      </c>
      <c r="J79">
        <v>1139.98</v>
      </c>
      <c r="K79">
        <v>753.96</v>
      </c>
      <c r="L79" t="s">
        <v>58</v>
      </c>
      <c r="M79">
        <v>0.39810000000000001</v>
      </c>
    </row>
    <row r="80" spans="1:13" x14ac:dyDescent="0.3">
      <c r="A80" t="s">
        <v>117</v>
      </c>
      <c r="B80" s="2">
        <v>45756</v>
      </c>
      <c r="C80" t="s">
        <v>24</v>
      </c>
      <c r="D80" t="s">
        <v>15</v>
      </c>
      <c r="E80" t="s">
        <v>16</v>
      </c>
      <c r="F80">
        <v>4</v>
      </c>
      <c r="G80">
        <v>449.52</v>
      </c>
      <c r="H80">
        <v>0.05</v>
      </c>
      <c r="I80">
        <v>1708.18</v>
      </c>
      <c r="J80">
        <v>1174.5899999999999</v>
      </c>
      <c r="K80">
        <v>533.59</v>
      </c>
      <c r="L80" t="s">
        <v>17</v>
      </c>
      <c r="M80">
        <v>0.31240000000000001</v>
      </c>
    </row>
    <row r="81" spans="1:13" x14ac:dyDescent="0.3">
      <c r="A81" t="s">
        <v>118</v>
      </c>
      <c r="B81" s="2">
        <v>45714</v>
      </c>
      <c r="C81" t="s">
        <v>19</v>
      </c>
      <c r="D81" t="s">
        <v>48</v>
      </c>
      <c r="E81" t="s">
        <v>16</v>
      </c>
      <c r="F81">
        <v>4</v>
      </c>
      <c r="G81">
        <v>987.14</v>
      </c>
      <c r="H81">
        <v>0.1</v>
      </c>
      <c r="I81">
        <v>3553.7</v>
      </c>
      <c r="J81">
        <v>2736.27</v>
      </c>
      <c r="K81">
        <v>817.43</v>
      </c>
      <c r="L81" t="s">
        <v>29</v>
      </c>
      <c r="M81">
        <v>0.23</v>
      </c>
    </row>
    <row r="82" spans="1:13" x14ac:dyDescent="0.3">
      <c r="A82" t="s">
        <v>119</v>
      </c>
      <c r="B82" s="2">
        <v>45790</v>
      </c>
      <c r="C82" t="s">
        <v>19</v>
      </c>
      <c r="D82" t="s">
        <v>28</v>
      </c>
      <c r="E82" t="s">
        <v>21</v>
      </c>
      <c r="F82">
        <v>5</v>
      </c>
      <c r="G82">
        <v>126.47</v>
      </c>
      <c r="H82">
        <v>0</v>
      </c>
      <c r="I82">
        <v>632.35</v>
      </c>
      <c r="J82">
        <v>450.16</v>
      </c>
      <c r="K82">
        <v>182.19</v>
      </c>
      <c r="L82" t="s">
        <v>33</v>
      </c>
      <c r="M82">
        <v>0.28810000000000002</v>
      </c>
    </row>
    <row r="83" spans="1:13" x14ac:dyDescent="0.3">
      <c r="A83" t="s">
        <v>120</v>
      </c>
      <c r="B83" s="2">
        <v>45731</v>
      </c>
      <c r="C83" t="s">
        <v>14</v>
      </c>
      <c r="D83" t="s">
        <v>15</v>
      </c>
      <c r="E83" t="s">
        <v>16</v>
      </c>
      <c r="F83">
        <v>5</v>
      </c>
      <c r="G83">
        <v>344.93</v>
      </c>
      <c r="H83">
        <v>0</v>
      </c>
      <c r="I83">
        <v>1724.65</v>
      </c>
      <c r="J83">
        <v>1059.48</v>
      </c>
      <c r="K83">
        <v>665.17</v>
      </c>
      <c r="L83" t="s">
        <v>49</v>
      </c>
      <c r="M83">
        <v>0.38569999999999999</v>
      </c>
    </row>
    <row r="84" spans="1:13" x14ac:dyDescent="0.3">
      <c r="A84" t="s">
        <v>121</v>
      </c>
      <c r="B84" s="2">
        <v>45827</v>
      </c>
      <c r="C84" t="s">
        <v>32</v>
      </c>
      <c r="D84" t="s">
        <v>41</v>
      </c>
      <c r="E84" t="s">
        <v>21</v>
      </c>
      <c r="F84">
        <v>1</v>
      </c>
      <c r="G84">
        <v>18.37</v>
      </c>
      <c r="H84">
        <v>0</v>
      </c>
      <c r="I84">
        <v>18.37</v>
      </c>
      <c r="J84">
        <v>13.75</v>
      </c>
      <c r="K84">
        <v>4.62</v>
      </c>
      <c r="L84" t="s">
        <v>22</v>
      </c>
      <c r="M84">
        <v>0.2515</v>
      </c>
    </row>
    <row r="85" spans="1:13" x14ac:dyDescent="0.3">
      <c r="A85" t="s">
        <v>122</v>
      </c>
      <c r="B85" s="2">
        <v>45996</v>
      </c>
      <c r="C85" t="s">
        <v>24</v>
      </c>
      <c r="D85" t="s">
        <v>37</v>
      </c>
      <c r="E85" t="s">
        <v>16</v>
      </c>
      <c r="F85">
        <v>3</v>
      </c>
      <c r="G85">
        <v>358.94</v>
      </c>
      <c r="H85">
        <v>0</v>
      </c>
      <c r="I85">
        <v>1076.82</v>
      </c>
      <c r="J85">
        <v>646.48</v>
      </c>
      <c r="K85">
        <v>430.34</v>
      </c>
      <c r="L85" t="s">
        <v>46</v>
      </c>
      <c r="M85">
        <v>0.39960000000000001</v>
      </c>
    </row>
    <row r="86" spans="1:13" x14ac:dyDescent="0.3">
      <c r="A86" t="s">
        <v>123</v>
      </c>
      <c r="B86" s="2">
        <v>45874</v>
      </c>
      <c r="C86" t="s">
        <v>32</v>
      </c>
      <c r="D86" t="s">
        <v>72</v>
      </c>
      <c r="E86" t="s">
        <v>16</v>
      </c>
      <c r="F86">
        <v>5</v>
      </c>
      <c r="G86">
        <v>186.37</v>
      </c>
      <c r="H86">
        <v>0.1</v>
      </c>
      <c r="I86">
        <v>838.67</v>
      </c>
      <c r="J86">
        <v>677.09</v>
      </c>
      <c r="K86">
        <v>161.58000000000001</v>
      </c>
      <c r="L86" t="s">
        <v>44</v>
      </c>
      <c r="M86">
        <v>0.19270000000000001</v>
      </c>
    </row>
    <row r="87" spans="1:13" x14ac:dyDescent="0.3">
      <c r="A87" t="s">
        <v>124</v>
      </c>
      <c r="B87" s="2">
        <v>45839</v>
      </c>
      <c r="C87" t="s">
        <v>19</v>
      </c>
      <c r="D87" t="s">
        <v>41</v>
      </c>
      <c r="E87" t="s">
        <v>21</v>
      </c>
      <c r="F87">
        <v>4</v>
      </c>
      <c r="G87">
        <v>35.700000000000003</v>
      </c>
      <c r="H87">
        <v>0</v>
      </c>
      <c r="I87">
        <v>142.80000000000001</v>
      </c>
      <c r="J87">
        <v>109.46</v>
      </c>
      <c r="K87">
        <v>33.340000000000003</v>
      </c>
      <c r="L87" t="s">
        <v>26</v>
      </c>
      <c r="M87">
        <v>0.23350000000000001</v>
      </c>
    </row>
    <row r="88" spans="1:13" x14ac:dyDescent="0.3">
      <c r="A88" t="s">
        <v>125</v>
      </c>
      <c r="B88" s="2">
        <v>45798</v>
      </c>
      <c r="C88" t="s">
        <v>14</v>
      </c>
      <c r="D88" t="s">
        <v>20</v>
      </c>
      <c r="E88" t="s">
        <v>21</v>
      </c>
      <c r="F88">
        <v>2</v>
      </c>
      <c r="G88">
        <v>111.1</v>
      </c>
      <c r="H88">
        <v>0</v>
      </c>
      <c r="I88">
        <v>222.2</v>
      </c>
      <c r="J88">
        <v>155.15</v>
      </c>
      <c r="K88">
        <v>67.05</v>
      </c>
      <c r="L88" t="s">
        <v>33</v>
      </c>
      <c r="M88">
        <v>0.30180000000000001</v>
      </c>
    </row>
    <row r="89" spans="1:13" x14ac:dyDescent="0.3">
      <c r="A89" t="s">
        <v>126</v>
      </c>
      <c r="B89" s="2">
        <v>46018</v>
      </c>
      <c r="C89" t="s">
        <v>19</v>
      </c>
      <c r="D89" t="s">
        <v>41</v>
      </c>
      <c r="E89" t="s">
        <v>21</v>
      </c>
      <c r="F89">
        <v>6</v>
      </c>
      <c r="G89">
        <v>15.55</v>
      </c>
      <c r="H89">
        <v>0</v>
      </c>
      <c r="I89">
        <v>93.3</v>
      </c>
      <c r="J89">
        <v>56.75</v>
      </c>
      <c r="K89">
        <v>36.549999999999997</v>
      </c>
      <c r="L89" t="s">
        <v>46</v>
      </c>
      <c r="M89">
        <v>0.39169999999999999</v>
      </c>
    </row>
    <row r="90" spans="1:13" x14ac:dyDescent="0.3">
      <c r="A90" t="s">
        <v>127</v>
      </c>
      <c r="B90" s="2">
        <v>45969</v>
      </c>
      <c r="C90" t="s">
        <v>32</v>
      </c>
      <c r="D90" t="s">
        <v>48</v>
      </c>
      <c r="E90" t="s">
        <v>16</v>
      </c>
      <c r="F90">
        <v>3</v>
      </c>
      <c r="G90">
        <v>929.19</v>
      </c>
      <c r="H90">
        <v>0.15</v>
      </c>
      <c r="I90">
        <v>2369.4299999999998</v>
      </c>
      <c r="J90">
        <v>1587.44</v>
      </c>
      <c r="K90">
        <v>781.99</v>
      </c>
      <c r="L90" t="s">
        <v>35</v>
      </c>
      <c r="M90">
        <v>0.33</v>
      </c>
    </row>
    <row r="91" spans="1:13" x14ac:dyDescent="0.3">
      <c r="A91" t="s">
        <v>128</v>
      </c>
      <c r="B91" s="2">
        <v>45974</v>
      </c>
      <c r="C91" t="s">
        <v>19</v>
      </c>
      <c r="D91" t="s">
        <v>25</v>
      </c>
      <c r="E91" t="s">
        <v>21</v>
      </c>
      <c r="F91">
        <v>5</v>
      </c>
      <c r="G91">
        <v>155.22</v>
      </c>
      <c r="H91">
        <v>0</v>
      </c>
      <c r="I91">
        <v>776.1</v>
      </c>
      <c r="J91">
        <v>630.79</v>
      </c>
      <c r="K91">
        <v>145.31</v>
      </c>
      <c r="L91" t="s">
        <v>35</v>
      </c>
      <c r="M91">
        <v>0.18720000000000001</v>
      </c>
    </row>
    <row r="92" spans="1:13" x14ac:dyDescent="0.3">
      <c r="A92" t="s">
        <v>129</v>
      </c>
      <c r="B92" s="2">
        <v>45804</v>
      </c>
      <c r="C92" t="s">
        <v>24</v>
      </c>
      <c r="D92" t="s">
        <v>28</v>
      </c>
      <c r="E92" t="s">
        <v>21</v>
      </c>
      <c r="F92">
        <v>6</v>
      </c>
      <c r="G92">
        <v>206.06</v>
      </c>
      <c r="H92">
        <v>0.15</v>
      </c>
      <c r="I92">
        <v>1050.9100000000001</v>
      </c>
      <c r="J92">
        <v>673.34</v>
      </c>
      <c r="K92">
        <v>377.57</v>
      </c>
      <c r="L92" t="s">
        <v>33</v>
      </c>
      <c r="M92">
        <v>0.35930000000000001</v>
      </c>
    </row>
    <row r="93" spans="1:13" x14ac:dyDescent="0.3">
      <c r="A93" t="s">
        <v>130</v>
      </c>
      <c r="B93" s="2">
        <v>45658</v>
      </c>
      <c r="C93" t="s">
        <v>32</v>
      </c>
      <c r="D93" t="s">
        <v>48</v>
      </c>
      <c r="E93" t="s">
        <v>16</v>
      </c>
      <c r="F93">
        <v>2</v>
      </c>
      <c r="G93">
        <v>658.04</v>
      </c>
      <c r="H93">
        <v>0</v>
      </c>
      <c r="I93">
        <v>1316.08</v>
      </c>
      <c r="J93">
        <v>856.35</v>
      </c>
      <c r="K93">
        <v>459.73</v>
      </c>
      <c r="L93" t="s">
        <v>65</v>
      </c>
      <c r="M93">
        <v>0.3493</v>
      </c>
    </row>
    <row r="94" spans="1:13" x14ac:dyDescent="0.3">
      <c r="A94" t="s">
        <v>131</v>
      </c>
      <c r="B94" s="2">
        <v>45987</v>
      </c>
      <c r="C94" t="s">
        <v>24</v>
      </c>
      <c r="D94" t="s">
        <v>25</v>
      </c>
      <c r="E94" t="s">
        <v>21</v>
      </c>
      <c r="F94">
        <v>6</v>
      </c>
      <c r="G94">
        <v>79.95</v>
      </c>
      <c r="H94">
        <v>0.1</v>
      </c>
      <c r="I94">
        <v>431.73</v>
      </c>
      <c r="J94">
        <v>345.24</v>
      </c>
      <c r="K94">
        <v>86.49</v>
      </c>
      <c r="L94" t="s">
        <v>35</v>
      </c>
      <c r="M94">
        <v>0.20030000000000001</v>
      </c>
    </row>
    <row r="95" spans="1:13" x14ac:dyDescent="0.3">
      <c r="A95" t="s">
        <v>132</v>
      </c>
      <c r="B95" s="2">
        <v>46005</v>
      </c>
      <c r="C95" t="s">
        <v>24</v>
      </c>
      <c r="D95" t="s">
        <v>72</v>
      </c>
      <c r="E95" t="s">
        <v>16</v>
      </c>
      <c r="F95">
        <v>6</v>
      </c>
      <c r="G95">
        <v>208.47</v>
      </c>
      <c r="H95">
        <v>0.05</v>
      </c>
      <c r="I95">
        <v>1188.28</v>
      </c>
      <c r="J95">
        <v>768.31</v>
      </c>
      <c r="K95">
        <v>419.97</v>
      </c>
      <c r="L95" t="s">
        <v>46</v>
      </c>
      <c r="M95">
        <v>0.35339999999999999</v>
      </c>
    </row>
    <row r="96" spans="1:13" x14ac:dyDescent="0.3">
      <c r="A96" t="s">
        <v>133</v>
      </c>
      <c r="B96" s="2">
        <v>45885</v>
      </c>
      <c r="C96" t="s">
        <v>24</v>
      </c>
      <c r="D96" t="s">
        <v>37</v>
      </c>
      <c r="E96" t="s">
        <v>16</v>
      </c>
      <c r="F96">
        <v>2</v>
      </c>
      <c r="G96">
        <v>211.11</v>
      </c>
      <c r="H96">
        <v>0</v>
      </c>
      <c r="I96">
        <v>422.22</v>
      </c>
      <c r="J96">
        <v>281.39999999999998</v>
      </c>
      <c r="K96">
        <v>140.82</v>
      </c>
      <c r="L96" t="s">
        <v>44</v>
      </c>
      <c r="M96">
        <v>0.33350000000000002</v>
      </c>
    </row>
    <row r="97" spans="1:13" x14ac:dyDescent="0.3">
      <c r="A97" t="s">
        <v>134</v>
      </c>
      <c r="B97" s="2">
        <v>45877</v>
      </c>
      <c r="C97" t="s">
        <v>24</v>
      </c>
      <c r="D97" t="s">
        <v>20</v>
      </c>
      <c r="E97" t="s">
        <v>21</v>
      </c>
      <c r="F97">
        <v>6</v>
      </c>
      <c r="G97">
        <v>28.07</v>
      </c>
      <c r="H97">
        <v>0</v>
      </c>
      <c r="I97">
        <v>168.42</v>
      </c>
      <c r="J97">
        <v>114.3</v>
      </c>
      <c r="K97">
        <v>54.12</v>
      </c>
      <c r="L97" t="s">
        <v>44</v>
      </c>
      <c r="M97">
        <v>0.32129999999999997</v>
      </c>
    </row>
    <row r="98" spans="1:13" x14ac:dyDescent="0.3">
      <c r="A98" t="s">
        <v>135</v>
      </c>
      <c r="B98" s="2">
        <v>45913</v>
      </c>
      <c r="C98" t="s">
        <v>32</v>
      </c>
      <c r="D98" t="s">
        <v>28</v>
      </c>
      <c r="E98" t="s">
        <v>21</v>
      </c>
      <c r="F98">
        <v>5</v>
      </c>
      <c r="G98">
        <v>203.52</v>
      </c>
      <c r="H98">
        <v>0.1</v>
      </c>
      <c r="I98">
        <v>915.84</v>
      </c>
      <c r="J98">
        <v>739.95</v>
      </c>
      <c r="K98">
        <v>175.89</v>
      </c>
      <c r="L98" t="s">
        <v>38</v>
      </c>
      <c r="M98">
        <v>0.19209999999999999</v>
      </c>
    </row>
    <row r="99" spans="1:13" x14ac:dyDescent="0.3">
      <c r="A99" t="s">
        <v>136</v>
      </c>
      <c r="B99" s="2">
        <v>46022</v>
      </c>
      <c r="C99" t="s">
        <v>32</v>
      </c>
      <c r="D99" t="s">
        <v>15</v>
      </c>
      <c r="E99" t="s">
        <v>16</v>
      </c>
      <c r="F99">
        <v>1</v>
      </c>
      <c r="G99">
        <v>376.57</v>
      </c>
      <c r="H99">
        <v>0.15</v>
      </c>
      <c r="I99">
        <v>320.08</v>
      </c>
      <c r="J99">
        <v>252.18</v>
      </c>
      <c r="K99">
        <v>67.900000000000006</v>
      </c>
      <c r="L99" t="s">
        <v>46</v>
      </c>
      <c r="M99">
        <v>0.21210000000000001</v>
      </c>
    </row>
    <row r="100" spans="1:13" x14ac:dyDescent="0.3">
      <c r="A100" t="s">
        <v>137</v>
      </c>
      <c r="B100" s="2">
        <v>45924</v>
      </c>
      <c r="C100" t="s">
        <v>32</v>
      </c>
      <c r="D100" t="s">
        <v>15</v>
      </c>
      <c r="E100" t="s">
        <v>16</v>
      </c>
      <c r="F100">
        <v>1</v>
      </c>
      <c r="G100">
        <v>545.47</v>
      </c>
      <c r="H100">
        <v>0.05</v>
      </c>
      <c r="I100">
        <v>518.20000000000005</v>
      </c>
      <c r="J100">
        <v>423.09</v>
      </c>
      <c r="K100">
        <v>95.11</v>
      </c>
      <c r="L100" t="s">
        <v>38</v>
      </c>
      <c r="M100">
        <v>0.1835</v>
      </c>
    </row>
    <row r="101" spans="1:13" x14ac:dyDescent="0.3">
      <c r="A101" t="s">
        <v>138</v>
      </c>
      <c r="B101" s="2">
        <v>45755</v>
      </c>
      <c r="C101" t="s">
        <v>32</v>
      </c>
      <c r="D101" t="s">
        <v>37</v>
      </c>
      <c r="E101" t="s">
        <v>16</v>
      </c>
      <c r="F101">
        <v>7</v>
      </c>
      <c r="G101">
        <v>261.83</v>
      </c>
      <c r="H101">
        <v>0.1</v>
      </c>
      <c r="I101">
        <v>1649.53</v>
      </c>
      <c r="J101">
        <v>1182.02</v>
      </c>
      <c r="K101">
        <v>467.51</v>
      </c>
      <c r="L101" t="s">
        <v>17</v>
      </c>
      <c r="M101">
        <v>0.28339999999999999</v>
      </c>
    </row>
    <row r="102" spans="1:13" x14ac:dyDescent="0.3">
      <c r="A102" t="s">
        <v>139</v>
      </c>
      <c r="B102" s="2">
        <v>45854</v>
      </c>
      <c r="C102" t="s">
        <v>19</v>
      </c>
      <c r="D102" t="s">
        <v>20</v>
      </c>
      <c r="E102" t="s">
        <v>21</v>
      </c>
      <c r="F102">
        <v>7</v>
      </c>
      <c r="G102">
        <v>50.97</v>
      </c>
      <c r="H102">
        <v>0</v>
      </c>
      <c r="I102">
        <v>356.79</v>
      </c>
      <c r="J102">
        <v>280.98</v>
      </c>
      <c r="K102">
        <v>75.81</v>
      </c>
      <c r="L102" t="s">
        <v>26</v>
      </c>
      <c r="M102">
        <v>0.21249999999999999</v>
      </c>
    </row>
    <row r="103" spans="1:13" x14ac:dyDescent="0.3">
      <c r="A103" t="s">
        <v>140</v>
      </c>
      <c r="B103" s="2">
        <v>45859</v>
      </c>
      <c r="C103" t="s">
        <v>14</v>
      </c>
      <c r="D103" t="s">
        <v>28</v>
      </c>
      <c r="E103" t="s">
        <v>21</v>
      </c>
      <c r="F103">
        <v>6</v>
      </c>
      <c r="G103">
        <v>203.94</v>
      </c>
      <c r="H103">
        <v>0.05</v>
      </c>
      <c r="I103">
        <v>1162.46</v>
      </c>
      <c r="J103">
        <v>876.81</v>
      </c>
      <c r="K103">
        <v>285.64999999999998</v>
      </c>
      <c r="L103" t="s">
        <v>26</v>
      </c>
      <c r="M103">
        <v>0.2457</v>
      </c>
    </row>
    <row r="104" spans="1:13" x14ac:dyDescent="0.3">
      <c r="A104" t="s">
        <v>141</v>
      </c>
      <c r="B104" s="2">
        <v>45830</v>
      </c>
      <c r="C104" t="s">
        <v>32</v>
      </c>
      <c r="D104" t="s">
        <v>20</v>
      </c>
      <c r="E104" t="s">
        <v>21</v>
      </c>
      <c r="F104">
        <v>1</v>
      </c>
      <c r="G104">
        <v>47.9</v>
      </c>
      <c r="H104">
        <v>0</v>
      </c>
      <c r="I104">
        <v>47.9</v>
      </c>
      <c r="J104">
        <v>30.67</v>
      </c>
      <c r="K104">
        <v>17.23</v>
      </c>
      <c r="L104" t="s">
        <v>22</v>
      </c>
      <c r="M104">
        <v>0.35970000000000002</v>
      </c>
    </row>
    <row r="105" spans="1:13" x14ac:dyDescent="0.3">
      <c r="A105" t="s">
        <v>142</v>
      </c>
      <c r="B105" s="2">
        <v>45752</v>
      </c>
      <c r="C105" t="s">
        <v>24</v>
      </c>
      <c r="D105" t="s">
        <v>41</v>
      </c>
      <c r="E105" t="s">
        <v>21</v>
      </c>
      <c r="F105">
        <v>6</v>
      </c>
      <c r="G105">
        <v>67.33</v>
      </c>
      <c r="H105">
        <v>0.1</v>
      </c>
      <c r="I105">
        <v>363.58</v>
      </c>
      <c r="J105">
        <v>214.97</v>
      </c>
      <c r="K105">
        <v>148.61000000000001</v>
      </c>
      <c r="L105" t="s">
        <v>17</v>
      </c>
      <c r="M105">
        <v>0.40870000000000001</v>
      </c>
    </row>
    <row r="106" spans="1:13" x14ac:dyDescent="0.3">
      <c r="A106" t="s">
        <v>143</v>
      </c>
      <c r="B106" s="2">
        <v>45963</v>
      </c>
      <c r="C106" t="s">
        <v>24</v>
      </c>
      <c r="D106" t="s">
        <v>15</v>
      </c>
      <c r="E106" t="s">
        <v>16</v>
      </c>
      <c r="F106">
        <v>2</v>
      </c>
      <c r="G106">
        <v>414.14</v>
      </c>
      <c r="H106">
        <v>0.05</v>
      </c>
      <c r="I106">
        <v>786.87</v>
      </c>
      <c r="J106">
        <v>613.39</v>
      </c>
      <c r="K106">
        <v>173.48</v>
      </c>
      <c r="L106" t="s">
        <v>35</v>
      </c>
      <c r="M106">
        <v>0.2205</v>
      </c>
    </row>
    <row r="107" spans="1:13" x14ac:dyDescent="0.3">
      <c r="A107" t="s">
        <v>144</v>
      </c>
      <c r="B107" s="2">
        <v>45769</v>
      </c>
      <c r="C107" t="s">
        <v>19</v>
      </c>
      <c r="D107" t="s">
        <v>48</v>
      </c>
      <c r="E107" t="s">
        <v>16</v>
      </c>
      <c r="F107">
        <v>6</v>
      </c>
      <c r="G107">
        <v>1179.18</v>
      </c>
      <c r="H107">
        <v>0</v>
      </c>
      <c r="I107">
        <v>7075.08</v>
      </c>
      <c r="J107">
        <v>5448.07</v>
      </c>
      <c r="K107">
        <v>1627.01</v>
      </c>
      <c r="L107" t="s">
        <v>17</v>
      </c>
      <c r="M107">
        <v>0.23</v>
      </c>
    </row>
    <row r="108" spans="1:13" x14ac:dyDescent="0.3">
      <c r="A108" t="s">
        <v>145</v>
      </c>
      <c r="B108" s="2">
        <v>45760</v>
      </c>
      <c r="C108" t="s">
        <v>14</v>
      </c>
      <c r="D108" t="s">
        <v>15</v>
      </c>
      <c r="E108" t="s">
        <v>16</v>
      </c>
      <c r="F108">
        <v>7</v>
      </c>
      <c r="G108">
        <v>534.91</v>
      </c>
      <c r="H108">
        <v>0.05</v>
      </c>
      <c r="I108">
        <v>3557.15</v>
      </c>
      <c r="J108">
        <v>2664.23</v>
      </c>
      <c r="K108">
        <v>892.92</v>
      </c>
      <c r="L108" t="s">
        <v>17</v>
      </c>
      <c r="M108">
        <v>0.251</v>
      </c>
    </row>
    <row r="109" spans="1:13" x14ac:dyDescent="0.3">
      <c r="A109" t="s">
        <v>146</v>
      </c>
      <c r="B109" s="2">
        <v>45992</v>
      </c>
      <c r="C109" t="s">
        <v>19</v>
      </c>
      <c r="D109" t="s">
        <v>72</v>
      </c>
      <c r="E109" t="s">
        <v>16</v>
      </c>
      <c r="F109">
        <v>4</v>
      </c>
      <c r="G109">
        <v>344.92</v>
      </c>
      <c r="H109">
        <v>0.05</v>
      </c>
      <c r="I109">
        <v>1310.7</v>
      </c>
      <c r="J109">
        <v>960.47</v>
      </c>
      <c r="K109">
        <v>350.23</v>
      </c>
      <c r="L109" t="s">
        <v>46</v>
      </c>
      <c r="M109">
        <v>0.26719999999999999</v>
      </c>
    </row>
    <row r="110" spans="1:13" x14ac:dyDescent="0.3">
      <c r="A110" t="s">
        <v>147</v>
      </c>
      <c r="B110" s="2">
        <v>45992</v>
      </c>
      <c r="C110" t="s">
        <v>24</v>
      </c>
      <c r="D110" t="s">
        <v>20</v>
      </c>
      <c r="E110" t="s">
        <v>21</v>
      </c>
      <c r="F110">
        <v>7</v>
      </c>
      <c r="G110">
        <v>94.01</v>
      </c>
      <c r="H110">
        <v>0.05</v>
      </c>
      <c r="I110">
        <v>625.16999999999996</v>
      </c>
      <c r="J110">
        <v>430.25</v>
      </c>
      <c r="K110">
        <v>194.92</v>
      </c>
      <c r="L110" t="s">
        <v>46</v>
      </c>
      <c r="M110">
        <v>0.31180000000000002</v>
      </c>
    </row>
    <row r="111" spans="1:13" x14ac:dyDescent="0.3">
      <c r="A111" t="s">
        <v>148</v>
      </c>
      <c r="B111" s="2">
        <v>45795</v>
      </c>
      <c r="C111" t="s">
        <v>24</v>
      </c>
      <c r="D111" t="s">
        <v>25</v>
      </c>
      <c r="E111" t="s">
        <v>21</v>
      </c>
      <c r="F111">
        <v>7</v>
      </c>
      <c r="G111">
        <v>98.07</v>
      </c>
      <c r="H111">
        <v>0.05</v>
      </c>
      <c r="I111">
        <v>652.16999999999996</v>
      </c>
      <c r="J111">
        <v>502.92</v>
      </c>
      <c r="K111">
        <v>149.25</v>
      </c>
      <c r="L111" t="s">
        <v>33</v>
      </c>
      <c r="M111">
        <v>0.22889999999999999</v>
      </c>
    </row>
    <row r="112" spans="1:13" x14ac:dyDescent="0.3">
      <c r="A112" t="s">
        <v>149</v>
      </c>
      <c r="B112" s="2">
        <v>45919</v>
      </c>
      <c r="C112" t="s">
        <v>32</v>
      </c>
      <c r="D112" t="s">
        <v>48</v>
      </c>
      <c r="E112" t="s">
        <v>16</v>
      </c>
      <c r="F112">
        <v>2</v>
      </c>
      <c r="G112">
        <v>1049.8</v>
      </c>
      <c r="H112">
        <v>0</v>
      </c>
      <c r="I112">
        <v>2099.6</v>
      </c>
      <c r="J112">
        <v>1240.8800000000001</v>
      </c>
      <c r="K112">
        <v>858.72</v>
      </c>
      <c r="L112" t="s">
        <v>38</v>
      </c>
      <c r="M112">
        <v>0.40899999999999997</v>
      </c>
    </row>
    <row r="113" spans="1:13" x14ac:dyDescent="0.3">
      <c r="A113" t="s">
        <v>150</v>
      </c>
      <c r="B113" s="2">
        <v>45768</v>
      </c>
      <c r="C113" t="s">
        <v>32</v>
      </c>
      <c r="D113" t="s">
        <v>37</v>
      </c>
      <c r="E113" t="s">
        <v>16</v>
      </c>
      <c r="F113">
        <v>5</v>
      </c>
      <c r="G113">
        <v>204.83</v>
      </c>
      <c r="H113">
        <v>0.05</v>
      </c>
      <c r="I113">
        <v>972.94</v>
      </c>
      <c r="J113">
        <v>644.05999999999995</v>
      </c>
      <c r="K113">
        <v>328.88</v>
      </c>
      <c r="L113" t="s">
        <v>17</v>
      </c>
      <c r="M113">
        <v>0.33800000000000002</v>
      </c>
    </row>
    <row r="114" spans="1:13" x14ac:dyDescent="0.3">
      <c r="A114" t="s">
        <v>151</v>
      </c>
      <c r="B114" s="2">
        <v>46017</v>
      </c>
      <c r="C114" t="s">
        <v>24</v>
      </c>
      <c r="D114" t="s">
        <v>15</v>
      </c>
      <c r="E114" t="s">
        <v>16</v>
      </c>
      <c r="F114">
        <v>7</v>
      </c>
      <c r="G114">
        <v>454.84</v>
      </c>
      <c r="H114">
        <v>0</v>
      </c>
      <c r="I114">
        <v>3183.88</v>
      </c>
      <c r="J114">
        <v>2379.7600000000002</v>
      </c>
      <c r="K114">
        <v>804.12</v>
      </c>
      <c r="L114" t="s">
        <v>46</v>
      </c>
      <c r="M114">
        <v>0.25259999999999999</v>
      </c>
    </row>
    <row r="115" spans="1:13" x14ac:dyDescent="0.3">
      <c r="A115" t="s">
        <v>152</v>
      </c>
      <c r="B115" s="2">
        <v>45718</v>
      </c>
      <c r="C115" t="s">
        <v>14</v>
      </c>
      <c r="D115" t="s">
        <v>72</v>
      </c>
      <c r="E115" t="s">
        <v>16</v>
      </c>
      <c r="F115">
        <v>1</v>
      </c>
      <c r="G115">
        <v>323.16000000000003</v>
      </c>
      <c r="H115">
        <v>0.05</v>
      </c>
      <c r="I115">
        <v>307</v>
      </c>
      <c r="J115">
        <v>227.25</v>
      </c>
      <c r="K115">
        <v>79.75</v>
      </c>
      <c r="L115" t="s">
        <v>49</v>
      </c>
      <c r="M115">
        <v>0.25979999999999998</v>
      </c>
    </row>
    <row r="116" spans="1:13" x14ac:dyDescent="0.3">
      <c r="A116" t="s">
        <v>153</v>
      </c>
      <c r="B116" s="2">
        <v>45679</v>
      </c>
      <c r="C116" t="s">
        <v>32</v>
      </c>
      <c r="D116" t="s">
        <v>20</v>
      </c>
      <c r="E116" t="s">
        <v>21</v>
      </c>
      <c r="F116">
        <v>3</v>
      </c>
      <c r="G116">
        <v>103.07</v>
      </c>
      <c r="H116">
        <v>0</v>
      </c>
      <c r="I116">
        <v>309.20999999999998</v>
      </c>
      <c r="J116">
        <v>205.14</v>
      </c>
      <c r="K116">
        <v>104.07</v>
      </c>
      <c r="L116" t="s">
        <v>65</v>
      </c>
      <c r="M116">
        <v>0.33660000000000001</v>
      </c>
    </row>
    <row r="117" spans="1:13" x14ac:dyDescent="0.3">
      <c r="A117" t="s">
        <v>154</v>
      </c>
      <c r="B117" s="2">
        <v>45735</v>
      </c>
      <c r="C117" t="s">
        <v>14</v>
      </c>
      <c r="D117" t="s">
        <v>25</v>
      </c>
      <c r="E117" t="s">
        <v>21</v>
      </c>
      <c r="F117">
        <v>1</v>
      </c>
      <c r="G117">
        <v>99.48</v>
      </c>
      <c r="H117">
        <v>0</v>
      </c>
      <c r="I117">
        <v>99.48</v>
      </c>
      <c r="J117">
        <v>79.05</v>
      </c>
      <c r="K117">
        <v>20.43</v>
      </c>
      <c r="L117" t="s">
        <v>49</v>
      </c>
      <c r="M117">
        <v>0.2054</v>
      </c>
    </row>
    <row r="118" spans="1:13" x14ac:dyDescent="0.3">
      <c r="A118" t="s">
        <v>155</v>
      </c>
      <c r="B118" s="2">
        <v>45896</v>
      </c>
      <c r="C118" t="s">
        <v>24</v>
      </c>
      <c r="D118" t="s">
        <v>28</v>
      </c>
      <c r="E118" t="s">
        <v>21</v>
      </c>
      <c r="F118">
        <v>3</v>
      </c>
      <c r="G118">
        <v>42.27</v>
      </c>
      <c r="H118">
        <v>0.1</v>
      </c>
      <c r="I118">
        <v>114.13</v>
      </c>
      <c r="J118">
        <v>83.39</v>
      </c>
      <c r="K118">
        <v>30.74</v>
      </c>
      <c r="L118" t="s">
        <v>44</v>
      </c>
      <c r="M118">
        <v>0.26929999999999998</v>
      </c>
    </row>
    <row r="119" spans="1:13" x14ac:dyDescent="0.3">
      <c r="A119" t="s">
        <v>156</v>
      </c>
      <c r="B119" s="2">
        <v>45914</v>
      </c>
      <c r="C119" t="s">
        <v>24</v>
      </c>
      <c r="D119" t="s">
        <v>25</v>
      </c>
      <c r="E119" t="s">
        <v>21</v>
      </c>
      <c r="F119">
        <v>3</v>
      </c>
      <c r="G119">
        <v>149.71</v>
      </c>
      <c r="H119">
        <v>0</v>
      </c>
      <c r="I119">
        <v>449.13</v>
      </c>
      <c r="J119">
        <v>290.33999999999997</v>
      </c>
      <c r="K119">
        <v>158.79</v>
      </c>
      <c r="L119" t="s">
        <v>38</v>
      </c>
      <c r="M119">
        <v>0.35360000000000003</v>
      </c>
    </row>
    <row r="120" spans="1:13" x14ac:dyDescent="0.3">
      <c r="A120" t="s">
        <v>157</v>
      </c>
      <c r="B120" s="2">
        <v>45871</v>
      </c>
      <c r="C120" t="s">
        <v>14</v>
      </c>
      <c r="D120" t="s">
        <v>48</v>
      </c>
      <c r="E120" t="s">
        <v>16</v>
      </c>
      <c r="F120">
        <v>3</v>
      </c>
      <c r="G120">
        <v>669.94</v>
      </c>
      <c r="H120">
        <v>0</v>
      </c>
      <c r="I120">
        <v>2009.82</v>
      </c>
      <c r="J120">
        <v>1344.4</v>
      </c>
      <c r="K120">
        <v>665.42</v>
      </c>
      <c r="L120" t="s">
        <v>44</v>
      </c>
      <c r="M120">
        <v>0.33110000000000001</v>
      </c>
    </row>
    <row r="121" spans="1:13" x14ac:dyDescent="0.3">
      <c r="A121" t="s">
        <v>158</v>
      </c>
      <c r="B121" s="2">
        <v>45671</v>
      </c>
      <c r="C121" t="s">
        <v>19</v>
      </c>
      <c r="D121" t="s">
        <v>37</v>
      </c>
      <c r="E121" t="s">
        <v>16</v>
      </c>
      <c r="F121">
        <v>4</v>
      </c>
      <c r="G121">
        <v>254.36</v>
      </c>
      <c r="H121">
        <v>0.05</v>
      </c>
      <c r="I121">
        <v>966.57</v>
      </c>
      <c r="J121">
        <v>734.01</v>
      </c>
      <c r="K121">
        <v>232.56</v>
      </c>
      <c r="L121" t="s">
        <v>65</v>
      </c>
      <c r="M121">
        <v>0.24060000000000001</v>
      </c>
    </row>
    <row r="122" spans="1:13" x14ac:dyDescent="0.3">
      <c r="A122" t="s">
        <v>159</v>
      </c>
      <c r="B122" s="2">
        <v>45896</v>
      </c>
      <c r="C122" t="s">
        <v>24</v>
      </c>
      <c r="D122" t="s">
        <v>72</v>
      </c>
      <c r="E122" t="s">
        <v>16</v>
      </c>
      <c r="F122">
        <v>3</v>
      </c>
      <c r="G122">
        <v>275.47000000000003</v>
      </c>
      <c r="H122">
        <v>0.1</v>
      </c>
      <c r="I122">
        <v>743.77</v>
      </c>
      <c r="J122">
        <v>522.72</v>
      </c>
      <c r="K122">
        <v>221.05</v>
      </c>
      <c r="L122" t="s">
        <v>44</v>
      </c>
      <c r="M122">
        <v>0.29720000000000002</v>
      </c>
    </row>
    <row r="123" spans="1:13" x14ac:dyDescent="0.3">
      <c r="A123" t="s">
        <v>160</v>
      </c>
      <c r="B123" s="2">
        <v>45776</v>
      </c>
      <c r="C123" t="s">
        <v>32</v>
      </c>
      <c r="D123" t="s">
        <v>28</v>
      </c>
      <c r="E123" t="s">
        <v>21</v>
      </c>
      <c r="F123">
        <v>2</v>
      </c>
      <c r="G123">
        <v>117.77</v>
      </c>
      <c r="H123">
        <v>0.05</v>
      </c>
      <c r="I123">
        <v>223.76</v>
      </c>
      <c r="J123">
        <v>142.80000000000001</v>
      </c>
      <c r="K123">
        <v>80.959999999999994</v>
      </c>
      <c r="L123" t="s">
        <v>17</v>
      </c>
      <c r="M123">
        <v>0.36180000000000001</v>
      </c>
    </row>
    <row r="124" spans="1:13" x14ac:dyDescent="0.3">
      <c r="A124" t="s">
        <v>161</v>
      </c>
      <c r="B124" s="2">
        <v>45783</v>
      </c>
      <c r="C124" t="s">
        <v>24</v>
      </c>
      <c r="D124" t="s">
        <v>41</v>
      </c>
      <c r="E124" t="s">
        <v>21</v>
      </c>
      <c r="F124">
        <v>2</v>
      </c>
      <c r="G124">
        <v>47.53</v>
      </c>
      <c r="H124">
        <v>0.1</v>
      </c>
      <c r="I124">
        <v>85.55</v>
      </c>
      <c r="J124">
        <v>51.45</v>
      </c>
      <c r="K124">
        <v>34.1</v>
      </c>
      <c r="L124" t="s">
        <v>33</v>
      </c>
      <c r="M124">
        <v>0.39860000000000001</v>
      </c>
    </row>
    <row r="125" spans="1:13" x14ac:dyDescent="0.3">
      <c r="A125" t="s">
        <v>162</v>
      </c>
      <c r="B125" s="2">
        <v>45890</v>
      </c>
      <c r="C125" t="s">
        <v>32</v>
      </c>
      <c r="D125" t="s">
        <v>48</v>
      </c>
      <c r="E125" t="s">
        <v>16</v>
      </c>
      <c r="F125">
        <v>1</v>
      </c>
      <c r="G125">
        <v>772.9</v>
      </c>
      <c r="H125">
        <v>0.05</v>
      </c>
      <c r="I125">
        <v>734.26</v>
      </c>
      <c r="J125">
        <v>488.45</v>
      </c>
      <c r="K125">
        <v>245.81</v>
      </c>
      <c r="L125" t="s">
        <v>44</v>
      </c>
      <c r="M125">
        <v>0.33479999999999999</v>
      </c>
    </row>
    <row r="126" spans="1:13" x14ac:dyDescent="0.3">
      <c r="A126" t="s">
        <v>163</v>
      </c>
      <c r="B126" s="2">
        <v>45893</v>
      </c>
      <c r="C126" t="s">
        <v>19</v>
      </c>
      <c r="D126" t="s">
        <v>37</v>
      </c>
      <c r="E126" t="s">
        <v>16</v>
      </c>
      <c r="F126">
        <v>7</v>
      </c>
      <c r="G126">
        <v>321.10000000000002</v>
      </c>
      <c r="H126">
        <v>0.1</v>
      </c>
      <c r="I126">
        <v>2022.93</v>
      </c>
      <c r="J126">
        <v>1444.09</v>
      </c>
      <c r="K126">
        <v>578.84</v>
      </c>
      <c r="L126" t="s">
        <v>44</v>
      </c>
      <c r="M126">
        <v>0.28610000000000002</v>
      </c>
    </row>
    <row r="127" spans="1:13" x14ac:dyDescent="0.3">
      <c r="A127" t="s">
        <v>164</v>
      </c>
      <c r="B127" s="2">
        <v>45972</v>
      </c>
      <c r="C127" t="s">
        <v>32</v>
      </c>
      <c r="D127" t="s">
        <v>37</v>
      </c>
      <c r="E127" t="s">
        <v>16</v>
      </c>
      <c r="F127">
        <v>1</v>
      </c>
      <c r="G127">
        <v>244.61</v>
      </c>
      <c r="H127">
        <v>0.1</v>
      </c>
      <c r="I127">
        <v>220.15</v>
      </c>
      <c r="J127">
        <v>159.79</v>
      </c>
      <c r="K127">
        <v>60.36</v>
      </c>
      <c r="L127" t="s">
        <v>35</v>
      </c>
      <c r="M127">
        <v>0.2742</v>
      </c>
    </row>
    <row r="128" spans="1:13" x14ac:dyDescent="0.3">
      <c r="A128" t="s">
        <v>165</v>
      </c>
      <c r="B128" s="2">
        <v>45727</v>
      </c>
      <c r="C128" t="s">
        <v>19</v>
      </c>
      <c r="D128" t="s">
        <v>25</v>
      </c>
      <c r="E128" t="s">
        <v>21</v>
      </c>
      <c r="F128">
        <v>5</v>
      </c>
      <c r="G128">
        <v>151.38</v>
      </c>
      <c r="H128">
        <v>0</v>
      </c>
      <c r="I128">
        <v>756.9</v>
      </c>
      <c r="J128">
        <v>479.94</v>
      </c>
      <c r="K128">
        <v>276.95999999999998</v>
      </c>
      <c r="L128" t="s">
        <v>49</v>
      </c>
      <c r="M128">
        <v>0.3659</v>
      </c>
    </row>
    <row r="129" spans="1:13" x14ac:dyDescent="0.3">
      <c r="A129" t="s">
        <v>166</v>
      </c>
      <c r="B129" s="2">
        <v>45809</v>
      </c>
      <c r="C129" t="s">
        <v>19</v>
      </c>
      <c r="D129" t="s">
        <v>72</v>
      </c>
      <c r="E129" t="s">
        <v>16</v>
      </c>
      <c r="F129">
        <v>4</v>
      </c>
      <c r="G129">
        <v>311.20999999999998</v>
      </c>
      <c r="H129">
        <v>0</v>
      </c>
      <c r="I129">
        <v>1244.8399999999999</v>
      </c>
      <c r="J129">
        <v>962.77</v>
      </c>
      <c r="K129">
        <v>282.07</v>
      </c>
      <c r="L129" t="s">
        <v>22</v>
      </c>
      <c r="M129">
        <v>0.2266</v>
      </c>
    </row>
    <row r="130" spans="1:13" x14ac:dyDescent="0.3">
      <c r="A130" t="s">
        <v>167</v>
      </c>
      <c r="B130" s="2">
        <v>45880</v>
      </c>
      <c r="C130" t="s">
        <v>14</v>
      </c>
      <c r="D130" t="s">
        <v>48</v>
      </c>
      <c r="E130" t="s">
        <v>16</v>
      </c>
      <c r="F130">
        <v>7</v>
      </c>
      <c r="G130">
        <v>583.55999999999995</v>
      </c>
      <c r="H130">
        <v>0</v>
      </c>
      <c r="I130">
        <v>4084.92</v>
      </c>
      <c r="J130">
        <v>3052.54</v>
      </c>
      <c r="K130">
        <v>1032.3800000000001</v>
      </c>
      <c r="L130" t="s">
        <v>44</v>
      </c>
      <c r="M130">
        <v>0.25269999999999998</v>
      </c>
    </row>
    <row r="131" spans="1:13" x14ac:dyDescent="0.3">
      <c r="A131" t="s">
        <v>168</v>
      </c>
      <c r="B131" s="2">
        <v>45751</v>
      </c>
      <c r="C131" t="s">
        <v>24</v>
      </c>
      <c r="D131" t="s">
        <v>37</v>
      </c>
      <c r="E131" t="s">
        <v>16</v>
      </c>
      <c r="F131">
        <v>4</v>
      </c>
      <c r="G131">
        <v>440.54</v>
      </c>
      <c r="H131">
        <v>0.1</v>
      </c>
      <c r="I131">
        <v>1585.94</v>
      </c>
      <c r="J131">
        <v>1230.8399999999999</v>
      </c>
      <c r="K131">
        <v>355.1</v>
      </c>
      <c r="L131" t="s">
        <v>17</v>
      </c>
      <c r="M131">
        <v>0.22389999999999999</v>
      </c>
    </row>
    <row r="132" spans="1:13" x14ac:dyDescent="0.3">
      <c r="A132" t="s">
        <v>169</v>
      </c>
      <c r="B132" s="2">
        <v>45683</v>
      </c>
      <c r="C132" t="s">
        <v>19</v>
      </c>
      <c r="D132" t="s">
        <v>25</v>
      </c>
      <c r="E132" t="s">
        <v>21</v>
      </c>
      <c r="F132">
        <v>3</v>
      </c>
      <c r="G132">
        <v>136.71</v>
      </c>
      <c r="H132">
        <v>0.1</v>
      </c>
      <c r="I132">
        <v>369.12</v>
      </c>
      <c r="J132">
        <v>261.49</v>
      </c>
      <c r="K132">
        <v>107.63</v>
      </c>
      <c r="L132" t="s">
        <v>65</v>
      </c>
      <c r="M132">
        <v>0.29160000000000003</v>
      </c>
    </row>
    <row r="133" spans="1:13" x14ac:dyDescent="0.3">
      <c r="A133" t="s">
        <v>170</v>
      </c>
      <c r="B133" s="2">
        <v>45869</v>
      </c>
      <c r="C133" t="s">
        <v>32</v>
      </c>
      <c r="D133" t="s">
        <v>28</v>
      </c>
      <c r="E133" t="s">
        <v>21</v>
      </c>
      <c r="F133">
        <v>4</v>
      </c>
      <c r="G133">
        <v>72.94</v>
      </c>
      <c r="H133">
        <v>0.15</v>
      </c>
      <c r="I133">
        <v>248</v>
      </c>
      <c r="J133">
        <v>186.16</v>
      </c>
      <c r="K133">
        <v>61.84</v>
      </c>
      <c r="L133" t="s">
        <v>26</v>
      </c>
      <c r="M133">
        <v>0.24940000000000001</v>
      </c>
    </row>
    <row r="134" spans="1:13" x14ac:dyDescent="0.3">
      <c r="A134" t="s">
        <v>171</v>
      </c>
      <c r="B134" s="2">
        <v>45695</v>
      </c>
      <c r="C134" t="s">
        <v>32</v>
      </c>
      <c r="D134" t="s">
        <v>41</v>
      </c>
      <c r="E134" t="s">
        <v>21</v>
      </c>
      <c r="F134">
        <v>1</v>
      </c>
      <c r="G134">
        <v>45.38</v>
      </c>
      <c r="H134">
        <v>0.1</v>
      </c>
      <c r="I134">
        <v>40.840000000000003</v>
      </c>
      <c r="J134">
        <v>31.21</v>
      </c>
      <c r="K134">
        <v>9.6300000000000008</v>
      </c>
      <c r="L134" t="s">
        <v>29</v>
      </c>
      <c r="M134">
        <v>0.23580000000000001</v>
      </c>
    </row>
    <row r="135" spans="1:13" x14ac:dyDescent="0.3">
      <c r="A135" t="s">
        <v>172</v>
      </c>
      <c r="B135" s="2">
        <v>45835</v>
      </c>
      <c r="C135" t="s">
        <v>24</v>
      </c>
      <c r="D135" t="s">
        <v>25</v>
      </c>
      <c r="E135" t="s">
        <v>21</v>
      </c>
      <c r="F135">
        <v>3</v>
      </c>
      <c r="G135">
        <v>151.16</v>
      </c>
      <c r="H135">
        <v>0</v>
      </c>
      <c r="I135">
        <v>453.48</v>
      </c>
      <c r="J135">
        <v>327.64999999999998</v>
      </c>
      <c r="K135">
        <v>125.83</v>
      </c>
      <c r="L135" t="s">
        <v>22</v>
      </c>
      <c r="M135">
        <v>0.27750000000000002</v>
      </c>
    </row>
    <row r="136" spans="1:13" x14ac:dyDescent="0.3">
      <c r="A136" t="s">
        <v>173</v>
      </c>
      <c r="B136" s="2">
        <v>45787</v>
      </c>
      <c r="C136" t="s">
        <v>24</v>
      </c>
      <c r="D136" t="s">
        <v>37</v>
      </c>
      <c r="E136" t="s">
        <v>16</v>
      </c>
      <c r="F136">
        <v>5</v>
      </c>
      <c r="G136">
        <v>159.65</v>
      </c>
      <c r="H136">
        <v>0.15</v>
      </c>
      <c r="I136">
        <v>678.51</v>
      </c>
      <c r="J136">
        <v>446.03</v>
      </c>
      <c r="K136">
        <v>232.48</v>
      </c>
      <c r="L136" t="s">
        <v>33</v>
      </c>
      <c r="M136">
        <v>0.34260000000000002</v>
      </c>
    </row>
    <row r="137" spans="1:13" x14ac:dyDescent="0.3">
      <c r="A137" t="s">
        <v>174</v>
      </c>
      <c r="B137" s="2">
        <v>45695</v>
      </c>
      <c r="C137" t="s">
        <v>19</v>
      </c>
      <c r="D137" t="s">
        <v>48</v>
      </c>
      <c r="E137" t="s">
        <v>16</v>
      </c>
      <c r="F137">
        <v>7</v>
      </c>
      <c r="G137">
        <v>992.98</v>
      </c>
      <c r="H137">
        <v>0.1</v>
      </c>
      <c r="I137">
        <v>6255.77</v>
      </c>
      <c r="J137">
        <v>4522.63</v>
      </c>
      <c r="K137">
        <v>1733.14</v>
      </c>
      <c r="L137" t="s">
        <v>29</v>
      </c>
      <c r="M137">
        <v>0.27700000000000002</v>
      </c>
    </row>
    <row r="138" spans="1:13" x14ac:dyDescent="0.3">
      <c r="A138" t="s">
        <v>175</v>
      </c>
      <c r="B138" s="2">
        <v>45991</v>
      </c>
      <c r="C138" t="s">
        <v>32</v>
      </c>
      <c r="D138" t="s">
        <v>20</v>
      </c>
      <c r="E138" t="s">
        <v>21</v>
      </c>
      <c r="F138">
        <v>6</v>
      </c>
      <c r="G138">
        <v>35.14</v>
      </c>
      <c r="H138">
        <v>0.1</v>
      </c>
      <c r="I138">
        <v>189.76</v>
      </c>
      <c r="J138">
        <v>144.03</v>
      </c>
      <c r="K138">
        <v>45.73</v>
      </c>
      <c r="L138" t="s">
        <v>35</v>
      </c>
      <c r="M138">
        <v>0.24099999999999999</v>
      </c>
    </row>
    <row r="139" spans="1:13" x14ac:dyDescent="0.3">
      <c r="A139" t="s">
        <v>176</v>
      </c>
      <c r="B139" s="2">
        <v>45953</v>
      </c>
      <c r="C139" t="s">
        <v>24</v>
      </c>
      <c r="D139" t="s">
        <v>72</v>
      </c>
      <c r="E139" t="s">
        <v>16</v>
      </c>
      <c r="F139">
        <v>3</v>
      </c>
      <c r="G139">
        <v>333.97</v>
      </c>
      <c r="H139">
        <v>0</v>
      </c>
      <c r="I139">
        <v>1001.91</v>
      </c>
      <c r="J139">
        <v>597.1</v>
      </c>
      <c r="K139">
        <v>404.81</v>
      </c>
      <c r="L139" t="s">
        <v>58</v>
      </c>
      <c r="M139">
        <v>0.40400000000000003</v>
      </c>
    </row>
    <row r="140" spans="1:13" x14ac:dyDescent="0.3">
      <c r="A140" t="s">
        <v>177</v>
      </c>
      <c r="B140" s="2">
        <v>45927</v>
      </c>
      <c r="C140" t="s">
        <v>24</v>
      </c>
      <c r="D140" t="s">
        <v>25</v>
      </c>
      <c r="E140" t="s">
        <v>21</v>
      </c>
      <c r="F140">
        <v>4</v>
      </c>
      <c r="G140">
        <v>139.44</v>
      </c>
      <c r="H140">
        <v>0</v>
      </c>
      <c r="I140">
        <v>557.76</v>
      </c>
      <c r="J140">
        <v>429.96</v>
      </c>
      <c r="K140">
        <v>127.8</v>
      </c>
      <c r="L140" t="s">
        <v>38</v>
      </c>
      <c r="M140">
        <v>0.2291</v>
      </c>
    </row>
    <row r="141" spans="1:13" x14ac:dyDescent="0.3">
      <c r="A141" t="s">
        <v>178</v>
      </c>
      <c r="B141" s="2">
        <v>45719</v>
      </c>
      <c r="C141" t="s">
        <v>24</v>
      </c>
      <c r="D141" t="s">
        <v>25</v>
      </c>
      <c r="E141" t="s">
        <v>21</v>
      </c>
      <c r="F141">
        <v>3</v>
      </c>
      <c r="G141">
        <v>51.35</v>
      </c>
      <c r="H141">
        <v>0.1</v>
      </c>
      <c r="I141">
        <v>138.65</v>
      </c>
      <c r="J141">
        <v>102.55</v>
      </c>
      <c r="K141">
        <v>36.1</v>
      </c>
      <c r="L141" t="s">
        <v>49</v>
      </c>
      <c r="M141">
        <v>0.26040000000000002</v>
      </c>
    </row>
    <row r="142" spans="1:13" x14ac:dyDescent="0.3">
      <c r="A142" t="s">
        <v>179</v>
      </c>
      <c r="B142" s="2">
        <v>45761</v>
      </c>
      <c r="C142" t="s">
        <v>14</v>
      </c>
      <c r="D142" t="s">
        <v>48</v>
      </c>
      <c r="E142" t="s">
        <v>16</v>
      </c>
      <c r="F142">
        <v>5</v>
      </c>
      <c r="G142">
        <v>932.4</v>
      </c>
      <c r="H142">
        <v>0.05</v>
      </c>
      <c r="I142">
        <v>4428.8999999999996</v>
      </c>
      <c r="J142">
        <v>3049.15</v>
      </c>
      <c r="K142">
        <v>1379.75</v>
      </c>
      <c r="L142" t="s">
        <v>17</v>
      </c>
      <c r="M142">
        <v>0.3115</v>
      </c>
    </row>
    <row r="143" spans="1:13" x14ac:dyDescent="0.3">
      <c r="A143" t="s">
        <v>180</v>
      </c>
      <c r="B143" s="2">
        <v>45810</v>
      </c>
      <c r="C143" t="s">
        <v>32</v>
      </c>
      <c r="D143" t="s">
        <v>72</v>
      </c>
      <c r="E143" t="s">
        <v>16</v>
      </c>
      <c r="F143">
        <v>3</v>
      </c>
      <c r="G143">
        <v>252.27</v>
      </c>
      <c r="H143">
        <v>0.05</v>
      </c>
      <c r="I143">
        <v>718.97</v>
      </c>
      <c r="J143">
        <v>492.71</v>
      </c>
      <c r="K143">
        <v>226.26</v>
      </c>
      <c r="L143" t="s">
        <v>22</v>
      </c>
      <c r="M143">
        <v>0.31469999999999998</v>
      </c>
    </row>
    <row r="144" spans="1:13" x14ac:dyDescent="0.3">
      <c r="A144" t="s">
        <v>181</v>
      </c>
      <c r="B144" s="2">
        <v>45696</v>
      </c>
      <c r="C144" t="s">
        <v>19</v>
      </c>
      <c r="D144" t="s">
        <v>48</v>
      </c>
      <c r="E144" t="s">
        <v>16</v>
      </c>
      <c r="F144">
        <v>7</v>
      </c>
      <c r="G144">
        <v>799.53</v>
      </c>
      <c r="H144">
        <v>0.05</v>
      </c>
      <c r="I144">
        <v>5316.87</v>
      </c>
      <c r="J144">
        <v>4240.49</v>
      </c>
      <c r="K144">
        <v>1076.3800000000001</v>
      </c>
      <c r="L144" t="s">
        <v>29</v>
      </c>
      <c r="M144">
        <v>0.2024</v>
      </c>
    </row>
    <row r="145" spans="1:13" x14ac:dyDescent="0.3">
      <c r="A145" t="s">
        <v>182</v>
      </c>
      <c r="B145" s="2">
        <v>45672</v>
      </c>
      <c r="C145" t="s">
        <v>19</v>
      </c>
      <c r="D145" t="s">
        <v>25</v>
      </c>
      <c r="E145" t="s">
        <v>21</v>
      </c>
      <c r="F145">
        <v>6</v>
      </c>
      <c r="G145">
        <v>73.27</v>
      </c>
      <c r="H145">
        <v>0.1</v>
      </c>
      <c r="I145">
        <v>395.66</v>
      </c>
      <c r="J145">
        <v>295.36</v>
      </c>
      <c r="K145">
        <v>100.3</v>
      </c>
      <c r="L145" t="s">
        <v>65</v>
      </c>
      <c r="M145">
        <v>0.2535</v>
      </c>
    </row>
    <row r="146" spans="1:13" x14ac:dyDescent="0.3">
      <c r="A146" t="s">
        <v>183</v>
      </c>
      <c r="B146" s="2">
        <v>45695</v>
      </c>
      <c r="C146" t="s">
        <v>32</v>
      </c>
      <c r="D146" t="s">
        <v>28</v>
      </c>
      <c r="E146" t="s">
        <v>21</v>
      </c>
      <c r="F146">
        <v>1</v>
      </c>
      <c r="G146">
        <v>133.69</v>
      </c>
      <c r="H146">
        <v>0.1</v>
      </c>
      <c r="I146">
        <v>120.32</v>
      </c>
      <c r="J146">
        <v>92.56</v>
      </c>
      <c r="K146">
        <v>27.76</v>
      </c>
      <c r="L146" t="s">
        <v>29</v>
      </c>
      <c r="M146">
        <v>0.23069999999999999</v>
      </c>
    </row>
    <row r="147" spans="1:13" x14ac:dyDescent="0.3">
      <c r="A147" t="s">
        <v>184</v>
      </c>
      <c r="B147" s="2">
        <v>45743</v>
      </c>
      <c r="C147" t="s">
        <v>14</v>
      </c>
      <c r="D147" t="s">
        <v>48</v>
      </c>
      <c r="E147" t="s">
        <v>16</v>
      </c>
      <c r="F147">
        <v>5</v>
      </c>
      <c r="G147">
        <v>711.52</v>
      </c>
      <c r="H147">
        <v>0.1</v>
      </c>
      <c r="I147">
        <v>3201.84</v>
      </c>
      <c r="J147">
        <v>1882.83</v>
      </c>
      <c r="K147">
        <v>1319.01</v>
      </c>
      <c r="L147" t="s">
        <v>49</v>
      </c>
      <c r="M147">
        <v>0.41199999999999998</v>
      </c>
    </row>
    <row r="148" spans="1:13" x14ac:dyDescent="0.3">
      <c r="A148" t="s">
        <v>185</v>
      </c>
      <c r="B148" s="2">
        <v>45816</v>
      </c>
      <c r="C148" t="s">
        <v>19</v>
      </c>
      <c r="D148" t="s">
        <v>37</v>
      </c>
      <c r="E148" t="s">
        <v>16</v>
      </c>
      <c r="F148">
        <v>5</v>
      </c>
      <c r="G148">
        <v>411.8</v>
      </c>
      <c r="H148">
        <v>0</v>
      </c>
      <c r="I148">
        <v>2059</v>
      </c>
      <c r="J148">
        <v>1600.05</v>
      </c>
      <c r="K148">
        <v>458.95</v>
      </c>
      <c r="L148" t="s">
        <v>22</v>
      </c>
      <c r="M148">
        <v>0.22289999999999999</v>
      </c>
    </row>
    <row r="149" spans="1:13" x14ac:dyDescent="0.3">
      <c r="A149" t="s">
        <v>186</v>
      </c>
      <c r="B149" s="2">
        <v>45918</v>
      </c>
      <c r="C149" t="s">
        <v>32</v>
      </c>
      <c r="D149" t="s">
        <v>41</v>
      </c>
      <c r="E149" t="s">
        <v>21</v>
      </c>
      <c r="F149">
        <v>5</v>
      </c>
      <c r="G149">
        <v>20.03</v>
      </c>
      <c r="H149">
        <v>0</v>
      </c>
      <c r="I149">
        <v>100.15</v>
      </c>
      <c r="J149">
        <v>77.25</v>
      </c>
      <c r="K149">
        <v>22.9</v>
      </c>
      <c r="L149" t="s">
        <v>38</v>
      </c>
      <c r="M149">
        <v>0.22869999999999999</v>
      </c>
    </row>
    <row r="150" spans="1:13" x14ac:dyDescent="0.3">
      <c r="A150" t="s">
        <v>187</v>
      </c>
      <c r="B150" s="2">
        <v>45900</v>
      </c>
      <c r="C150" t="s">
        <v>24</v>
      </c>
      <c r="D150" t="s">
        <v>15</v>
      </c>
      <c r="E150" t="s">
        <v>16</v>
      </c>
      <c r="F150">
        <v>4</v>
      </c>
      <c r="G150">
        <v>519.46</v>
      </c>
      <c r="H150">
        <v>0.1</v>
      </c>
      <c r="I150">
        <v>1870.06</v>
      </c>
      <c r="J150">
        <v>1372.39</v>
      </c>
      <c r="K150">
        <v>497.67</v>
      </c>
      <c r="L150" t="s">
        <v>44</v>
      </c>
      <c r="M150">
        <v>0.2661</v>
      </c>
    </row>
    <row r="151" spans="1:13" x14ac:dyDescent="0.3">
      <c r="A151" t="s">
        <v>188</v>
      </c>
      <c r="B151" s="2">
        <v>45987</v>
      </c>
      <c r="C151" t="s">
        <v>24</v>
      </c>
      <c r="D151" t="s">
        <v>41</v>
      </c>
      <c r="E151" t="s">
        <v>21</v>
      </c>
      <c r="F151">
        <v>2</v>
      </c>
      <c r="G151">
        <v>27.86</v>
      </c>
      <c r="H151">
        <v>0</v>
      </c>
      <c r="I151">
        <v>55.72</v>
      </c>
      <c r="J151">
        <v>34.75</v>
      </c>
      <c r="K151">
        <v>20.97</v>
      </c>
      <c r="L151" t="s">
        <v>35</v>
      </c>
      <c r="M151">
        <v>0.37630000000000002</v>
      </c>
    </row>
    <row r="152" spans="1:13" x14ac:dyDescent="0.3">
      <c r="A152" t="s">
        <v>189</v>
      </c>
      <c r="B152" s="2">
        <v>45875</v>
      </c>
      <c r="C152" t="s">
        <v>32</v>
      </c>
      <c r="D152" t="s">
        <v>25</v>
      </c>
      <c r="E152" t="s">
        <v>21</v>
      </c>
      <c r="F152">
        <v>6</v>
      </c>
      <c r="G152">
        <v>82.11</v>
      </c>
      <c r="H152">
        <v>0.05</v>
      </c>
      <c r="I152">
        <v>468.03</v>
      </c>
      <c r="J152">
        <v>377.86</v>
      </c>
      <c r="K152">
        <v>90.17</v>
      </c>
      <c r="L152" t="s">
        <v>44</v>
      </c>
      <c r="M152">
        <v>0.19270000000000001</v>
      </c>
    </row>
    <row r="153" spans="1:13" x14ac:dyDescent="0.3">
      <c r="A153" t="s">
        <v>190</v>
      </c>
      <c r="B153" s="2">
        <v>45828</v>
      </c>
      <c r="C153" t="s">
        <v>24</v>
      </c>
      <c r="D153" t="s">
        <v>72</v>
      </c>
      <c r="E153" t="s">
        <v>16</v>
      </c>
      <c r="F153">
        <v>6</v>
      </c>
      <c r="G153">
        <v>116.21</v>
      </c>
      <c r="H153">
        <v>0</v>
      </c>
      <c r="I153">
        <v>697.26</v>
      </c>
      <c r="J153">
        <v>525.91999999999996</v>
      </c>
      <c r="K153">
        <v>171.34</v>
      </c>
      <c r="L153" t="s">
        <v>22</v>
      </c>
      <c r="M153">
        <v>0.2457</v>
      </c>
    </row>
    <row r="154" spans="1:13" x14ac:dyDescent="0.3">
      <c r="A154" t="s">
        <v>191</v>
      </c>
      <c r="B154" s="2">
        <v>45784</v>
      </c>
      <c r="C154" t="s">
        <v>14</v>
      </c>
      <c r="D154" t="s">
        <v>41</v>
      </c>
      <c r="E154" t="s">
        <v>21</v>
      </c>
      <c r="F154">
        <v>4</v>
      </c>
      <c r="G154">
        <v>69.88</v>
      </c>
      <c r="H154">
        <v>0.1</v>
      </c>
      <c r="I154">
        <v>251.57</v>
      </c>
      <c r="J154">
        <v>147.30000000000001</v>
      </c>
      <c r="K154">
        <v>104.27</v>
      </c>
      <c r="L154" t="s">
        <v>33</v>
      </c>
      <c r="M154">
        <v>0.41449999999999998</v>
      </c>
    </row>
    <row r="155" spans="1:13" x14ac:dyDescent="0.3">
      <c r="A155" t="s">
        <v>192</v>
      </c>
      <c r="B155" s="2">
        <v>45953</v>
      </c>
      <c r="C155" t="s">
        <v>32</v>
      </c>
      <c r="D155" t="s">
        <v>48</v>
      </c>
      <c r="E155" t="s">
        <v>16</v>
      </c>
      <c r="F155">
        <v>4</v>
      </c>
      <c r="G155">
        <v>793.38</v>
      </c>
      <c r="H155">
        <v>0</v>
      </c>
      <c r="I155">
        <v>3173.52</v>
      </c>
      <c r="J155">
        <v>1899.53</v>
      </c>
      <c r="K155">
        <v>1273.99</v>
      </c>
      <c r="L155" t="s">
        <v>58</v>
      </c>
      <c r="M155">
        <v>0.40139999999999998</v>
      </c>
    </row>
    <row r="156" spans="1:13" x14ac:dyDescent="0.3">
      <c r="A156" t="s">
        <v>193</v>
      </c>
      <c r="B156" s="2">
        <v>45767</v>
      </c>
      <c r="C156" t="s">
        <v>24</v>
      </c>
      <c r="D156" t="s">
        <v>25</v>
      </c>
      <c r="E156" t="s">
        <v>21</v>
      </c>
      <c r="F156">
        <v>3</v>
      </c>
      <c r="G156">
        <v>88.61</v>
      </c>
      <c r="H156">
        <v>0</v>
      </c>
      <c r="I156">
        <v>265.83</v>
      </c>
      <c r="J156">
        <v>217.01</v>
      </c>
      <c r="K156">
        <v>48.82</v>
      </c>
      <c r="L156" t="s">
        <v>17</v>
      </c>
      <c r="M156">
        <v>0.1837</v>
      </c>
    </row>
    <row r="157" spans="1:13" x14ac:dyDescent="0.3">
      <c r="A157" t="s">
        <v>194</v>
      </c>
      <c r="B157" s="2">
        <v>45806</v>
      </c>
      <c r="C157" t="s">
        <v>19</v>
      </c>
      <c r="D157" t="s">
        <v>25</v>
      </c>
      <c r="E157" t="s">
        <v>21</v>
      </c>
      <c r="F157">
        <v>7</v>
      </c>
      <c r="G157">
        <v>149.71</v>
      </c>
      <c r="H157">
        <v>0.1</v>
      </c>
      <c r="I157">
        <v>943.17</v>
      </c>
      <c r="J157">
        <v>664.48</v>
      </c>
      <c r="K157">
        <v>278.69</v>
      </c>
      <c r="L157" t="s">
        <v>33</v>
      </c>
      <c r="M157">
        <v>0.29549999999999998</v>
      </c>
    </row>
    <row r="158" spans="1:13" x14ac:dyDescent="0.3">
      <c r="A158" t="s">
        <v>195</v>
      </c>
      <c r="B158" s="2">
        <v>45948</v>
      </c>
      <c r="C158" t="s">
        <v>19</v>
      </c>
      <c r="D158" t="s">
        <v>48</v>
      </c>
      <c r="E158" t="s">
        <v>16</v>
      </c>
      <c r="F158">
        <v>5</v>
      </c>
      <c r="G158">
        <v>767.88</v>
      </c>
      <c r="H158">
        <v>0.1</v>
      </c>
      <c r="I158">
        <v>3455.46</v>
      </c>
      <c r="J158">
        <v>2008.01</v>
      </c>
      <c r="K158">
        <v>1447.45</v>
      </c>
      <c r="L158" t="s">
        <v>58</v>
      </c>
      <c r="M158">
        <v>0.41889999999999999</v>
      </c>
    </row>
    <row r="159" spans="1:13" x14ac:dyDescent="0.3">
      <c r="A159" t="s">
        <v>196</v>
      </c>
      <c r="B159" s="2">
        <v>46004</v>
      </c>
      <c r="C159" t="s">
        <v>32</v>
      </c>
      <c r="D159" t="s">
        <v>41</v>
      </c>
      <c r="E159" t="s">
        <v>21</v>
      </c>
      <c r="F159">
        <v>1</v>
      </c>
      <c r="G159">
        <v>66.400000000000006</v>
      </c>
      <c r="H159">
        <v>0.15</v>
      </c>
      <c r="I159">
        <v>56.44</v>
      </c>
      <c r="J159">
        <v>39.04</v>
      </c>
      <c r="K159">
        <v>17.399999999999999</v>
      </c>
      <c r="L159" t="s">
        <v>46</v>
      </c>
      <c r="M159">
        <v>0.30830000000000002</v>
      </c>
    </row>
    <row r="160" spans="1:13" x14ac:dyDescent="0.3">
      <c r="A160" t="s">
        <v>197</v>
      </c>
      <c r="B160" s="2">
        <v>45682</v>
      </c>
      <c r="C160" t="s">
        <v>19</v>
      </c>
      <c r="D160" t="s">
        <v>72</v>
      </c>
      <c r="E160" t="s">
        <v>16</v>
      </c>
      <c r="F160">
        <v>3</v>
      </c>
      <c r="G160">
        <v>98.54</v>
      </c>
      <c r="H160">
        <v>0.15</v>
      </c>
      <c r="I160">
        <v>251.28</v>
      </c>
      <c r="J160">
        <v>160.71</v>
      </c>
      <c r="K160">
        <v>90.57</v>
      </c>
      <c r="L160" t="s">
        <v>65</v>
      </c>
      <c r="M160">
        <v>0.3604</v>
      </c>
    </row>
    <row r="161" spans="1:13" x14ac:dyDescent="0.3">
      <c r="A161" t="s">
        <v>198</v>
      </c>
      <c r="B161" s="2">
        <v>45807</v>
      </c>
      <c r="C161" t="s">
        <v>14</v>
      </c>
      <c r="D161" t="s">
        <v>41</v>
      </c>
      <c r="E161" t="s">
        <v>21</v>
      </c>
      <c r="F161">
        <v>6</v>
      </c>
      <c r="G161">
        <v>14.13</v>
      </c>
      <c r="H161">
        <v>0</v>
      </c>
      <c r="I161">
        <v>84.78</v>
      </c>
      <c r="J161">
        <v>65.05</v>
      </c>
      <c r="K161">
        <v>19.73</v>
      </c>
      <c r="L161" t="s">
        <v>33</v>
      </c>
      <c r="M161">
        <v>0.23269999999999999</v>
      </c>
    </row>
    <row r="162" spans="1:13" x14ac:dyDescent="0.3">
      <c r="A162" t="s">
        <v>199</v>
      </c>
      <c r="B162" s="2">
        <v>45834</v>
      </c>
      <c r="C162" t="s">
        <v>24</v>
      </c>
      <c r="D162" t="s">
        <v>41</v>
      </c>
      <c r="E162" t="s">
        <v>21</v>
      </c>
      <c r="F162">
        <v>2</v>
      </c>
      <c r="G162">
        <v>53.8</v>
      </c>
      <c r="H162">
        <v>0</v>
      </c>
      <c r="I162">
        <v>107.6</v>
      </c>
      <c r="J162">
        <v>87.23</v>
      </c>
      <c r="K162">
        <v>20.37</v>
      </c>
      <c r="L162" t="s">
        <v>22</v>
      </c>
      <c r="M162">
        <v>0.1893</v>
      </c>
    </row>
    <row r="163" spans="1:13" x14ac:dyDescent="0.3">
      <c r="A163" t="s">
        <v>200</v>
      </c>
      <c r="B163" s="2">
        <v>45914</v>
      </c>
      <c r="C163" t="s">
        <v>24</v>
      </c>
      <c r="D163" t="s">
        <v>25</v>
      </c>
      <c r="E163" t="s">
        <v>21</v>
      </c>
      <c r="F163">
        <v>6</v>
      </c>
      <c r="G163">
        <v>41.1</v>
      </c>
      <c r="H163">
        <v>0.15</v>
      </c>
      <c r="I163">
        <v>209.61</v>
      </c>
      <c r="J163">
        <v>146.84</v>
      </c>
      <c r="K163">
        <v>62.77</v>
      </c>
      <c r="L163" t="s">
        <v>38</v>
      </c>
      <c r="M163">
        <v>0.29949999999999999</v>
      </c>
    </row>
    <row r="164" spans="1:13" x14ac:dyDescent="0.3">
      <c r="A164" t="s">
        <v>201</v>
      </c>
      <c r="B164" s="2">
        <v>45689</v>
      </c>
      <c r="C164" t="s">
        <v>14</v>
      </c>
      <c r="D164" t="s">
        <v>28</v>
      </c>
      <c r="E164" t="s">
        <v>21</v>
      </c>
      <c r="F164">
        <v>6</v>
      </c>
      <c r="G164">
        <v>173.74</v>
      </c>
      <c r="H164">
        <v>0</v>
      </c>
      <c r="I164">
        <v>1042.44</v>
      </c>
      <c r="J164">
        <v>829.3</v>
      </c>
      <c r="K164">
        <v>213.14</v>
      </c>
      <c r="L164" t="s">
        <v>29</v>
      </c>
      <c r="M164">
        <v>0.20449999999999999</v>
      </c>
    </row>
    <row r="165" spans="1:13" x14ac:dyDescent="0.3">
      <c r="A165" t="s">
        <v>202</v>
      </c>
      <c r="B165" s="2">
        <v>45675</v>
      </c>
      <c r="C165" t="s">
        <v>32</v>
      </c>
      <c r="D165" t="s">
        <v>28</v>
      </c>
      <c r="E165" t="s">
        <v>21</v>
      </c>
      <c r="F165">
        <v>1</v>
      </c>
      <c r="G165">
        <v>41.76</v>
      </c>
      <c r="H165">
        <v>0.05</v>
      </c>
      <c r="I165">
        <v>39.67</v>
      </c>
      <c r="J165">
        <v>28.39</v>
      </c>
      <c r="K165">
        <v>11.28</v>
      </c>
      <c r="L165" t="s">
        <v>65</v>
      </c>
      <c r="M165">
        <v>0.2843</v>
      </c>
    </row>
    <row r="166" spans="1:13" x14ac:dyDescent="0.3">
      <c r="A166" t="s">
        <v>203</v>
      </c>
      <c r="B166" s="2">
        <v>45771</v>
      </c>
      <c r="C166" t="s">
        <v>14</v>
      </c>
      <c r="D166" t="s">
        <v>25</v>
      </c>
      <c r="E166" t="s">
        <v>21</v>
      </c>
      <c r="F166">
        <v>3</v>
      </c>
      <c r="G166">
        <v>88.93</v>
      </c>
      <c r="H166">
        <v>0.05</v>
      </c>
      <c r="I166">
        <v>253.45</v>
      </c>
      <c r="J166">
        <v>173.81</v>
      </c>
      <c r="K166">
        <v>79.64</v>
      </c>
      <c r="L166" t="s">
        <v>17</v>
      </c>
      <c r="M166">
        <v>0.31419999999999998</v>
      </c>
    </row>
    <row r="167" spans="1:13" x14ac:dyDescent="0.3">
      <c r="A167" t="s">
        <v>204</v>
      </c>
      <c r="B167" s="2">
        <v>46016</v>
      </c>
      <c r="C167" t="s">
        <v>19</v>
      </c>
      <c r="D167" t="s">
        <v>25</v>
      </c>
      <c r="E167" t="s">
        <v>21</v>
      </c>
      <c r="F167">
        <v>3</v>
      </c>
      <c r="G167">
        <v>50.18</v>
      </c>
      <c r="H167">
        <v>0</v>
      </c>
      <c r="I167">
        <v>150.54</v>
      </c>
      <c r="J167">
        <v>118.45</v>
      </c>
      <c r="K167">
        <v>32.090000000000003</v>
      </c>
      <c r="L167" t="s">
        <v>46</v>
      </c>
      <c r="M167">
        <v>0.2132</v>
      </c>
    </row>
    <row r="168" spans="1:13" x14ac:dyDescent="0.3">
      <c r="A168" t="s">
        <v>205</v>
      </c>
      <c r="B168" s="2">
        <v>45744</v>
      </c>
      <c r="C168" t="s">
        <v>19</v>
      </c>
      <c r="D168" t="s">
        <v>72</v>
      </c>
      <c r="E168" t="s">
        <v>16</v>
      </c>
      <c r="F168">
        <v>2</v>
      </c>
      <c r="G168">
        <v>160.38999999999999</v>
      </c>
      <c r="H168">
        <v>0.05</v>
      </c>
      <c r="I168">
        <v>304.74</v>
      </c>
      <c r="J168">
        <v>206.64</v>
      </c>
      <c r="K168">
        <v>98.1</v>
      </c>
      <c r="L168" t="s">
        <v>49</v>
      </c>
      <c r="M168">
        <v>0.32190000000000002</v>
      </c>
    </row>
    <row r="169" spans="1:13" x14ac:dyDescent="0.3">
      <c r="A169" t="s">
        <v>206</v>
      </c>
      <c r="B169" s="2">
        <v>45980</v>
      </c>
      <c r="C169" t="s">
        <v>24</v>
      </c>
      <c r="D169" t="s">
        <v>41</v>
      </c>
      <c r="E169" t="s">
        <v>21</v>
      </c>
      <c r="F169">
        <v>2</v>
      </c>
      <c r="G169">
        <v>66.62</v>
      </c>
      <c r="H169">
        <v>0</v>
      </c>
      <c r="I169">
        <v>133.24</v>
      </c>
      <c r="J169">
        <v>94.92</v>
      </c>
      <c r="K169">
        <v>38.32</v>
      </c>
      <c r="L169" t="s">
        <v>35</v>
      </c>
      <c r="M169">
        <v>0.28760000000000002</v>
      </c>
    </row>
    <row r="170" spans="1:13" x14ac:dyDescent="0.3">
      <c r="A170" t="s">
        <v>207</v>
      </c>
      <c r="B170" s="2">
        <v>45886</v>
      </c>
      <c r="C170" t="s">
        <v>19</v>
      </c>
      <c r="D170" t="s">
        <v>15</v>
      </c>
      <c r="E170" t="s">
        <v>16</v>
      </c>
      <c r="F170">
        <v>3</v>
      </c>
      <c r="G170">
        <v>417.59</v>
      </c>
      <c r="H170">
        <v>0.05</v>
      </c>
      <c r="I170">
        <v>1190.1300000000001</v>
      </c>
      <c r="J170">
        <v>787.18</v>
      </c>
      <c r="K170">
        <v>402.95</v>
      </c>
      <c r="L170" t="s">
        <v>44</v>
      </c>
      <c r="M170">
        <v>0.33860000000000001</v>
      </c>
    </row>
    <row r="171" spans="1:13" x14ac:dyDescent="0.3">
      <c r="A171" t="s">
        <v>208</v>
      </c>
      <c r="B171" s="2">
        <v>45745</v>
      </c>
      <c r="C171" t="s">
        <v>14</v>
      </c>
      <c r="D171" t="s">
        <v>20</v>
      </c>
      <c r="E171" t="s">
        <v>21</v>
      </c>
      <c r="F171">
        <v>1</v>
      </c>
      <c r="G171">
        <v>77.89</v>
      </c>
      <c r="H171">
        <v>0.1</v>
      </c>
      <c r="I171">
        <v>70.099999999999994</v>
      </c>
      <c r="J171">
        <v>54.21</v>
      </c>
      <c r="K171">
        <v>15.89</v>
      </c>
      <c r="L171" t="s">
        <v>49</v>
      </c>
      <c r="M171">
        <v>0.22670000000000001</v>
      </c>
    </row>
    <row r="172" spans="1:13" x14ac:dyDescent="0.3">
      <c r="A172" t="s">
        <v>209</v>
      </c>
      <c r="B172" s="2">
        <v>45880</v>
      </c>
      <c r="C172" t="s">
        <v>19</v>
      </c>
      <c r="D172" t="s">
        <v>72</v>
      </c>
      <c r="E172" t="s">
        <v>16</v>
      </c>
      <c r="F172">
        <v>6</v>
      </c>
      <c r="G172">
        <v>305.86</v>
      </c>
      <c r="H172">
        <v>0</v>
      </c>
      <c r="I172">
        <v>1835.16</v>
      </c>
      <c r="J172">
        <v>1358.64</v>
      </c>
      <c r="K172">
        <v>476.52</v>
      </c>
      <c r="L172" t="s">
        <v>44</v>
      </c>
      <c r="M172">
        <v>0.25969999999999999</v>
      </c>
    </row>
    <row r="173" spans="1:13" x14ac:dyDescent="0.3">
      <c r="A173" t="s">
        <v>210</v>
      </c>
      <c r="B173" s="2">
        <v>45804</v>
      </c>
      <c r="C173" t="s">
        <v>24</v>
      </c>
      <c r="D173" t="s">
        <v>72</v>
      </c>
      <c r="E173" t="s">
        <v>16</v>
      </c>
      <c r="F173">
        <v>2</v>
      </c>
      <c r="G173">
        <v>93.38</v>
      </c>
      <c r="H173">
        <v>0</v>
      </c>
      <c r="I173">
        <v>186.76</v>
      </c>
      <c r="J173">
        <v>117.64</v>
      </c>
      <c r="K173">
        <v>69.12</v>
      </c>
      <c r="L173" t="s">
        <v>33</v>
      </c>
      <c r="M173">
        <v>0.37009999999999998</v>
      </c>
    </row>
    <row r="174" spans="1:13" x14ac:dyDescent="0.3">
      <c r="A174" t="s">
        <v>211</v>
      </c>
      <c r="B174" s="2">
        <v>45960</v>
      </c>
      <c r="C174" t="s">
        <v>32</v>
      </c>
      <c r="D174" t="s">
        <v>28</v>
      </c>
      <c r="E174" t="s">
        <v>21</v>
      </c>
      <c r="F174">
        <v>3</v>
      </c>
      <c r="G174">
        <v>142.86000000000001</v>
      </c>
      <c r="H174">
        <v>0</v>
      </c>
      <c r="I174">
        <v>428.58</v>
      </c>
      <c r="J174">
        <v>340.4</v>
      </c>
      <c r="K174">
        <v>88.18</v>
      </c>
      <c r="L174" t="s">
        <v>58</v>
      </c>
      <c r="M174">
        <v>0.20569999999999999</v>
      </c>
    </row>
    <row r="175" spans="1:13" x14ac:dyDescent="0.3">
      <c r="A175" t="s">
        <v>212</v>
      </c>
      <c r="B175" s="2">
        <v>45677</v>
      </c>
      <c r="C175" t="s">
        <v>32</v>
      </c>
      <c r="D175" t="s">
        <v>41</v>
      </c>
      <c r="E175" t="s">
        <v>21</v>
      </c>
      <c r="F175">
        <v>3</v>
      </c>
      <c r="G175">
        <v>28.34</v>
      </c>
      <c r="H175">
        <v>0</v>
      </c>
      <c r="I175">
        <v>85.02</v>
      </c>
      <c r="J175">
        <v>61.36</v>
      </c>
      <c r="K175">
        <v>23.66</v>
      </c>
      <c r="L175" t="s">
        <v>65</v>
      </c>
      <c r="M175">
        <v>0.27829999999999999</v>
      </c>
    </row>
    <row r="176" spans="1:13" x14ac:dyDescent="0.3">
      <c r="A176" t="s">
        <v>213</v>
      </c>
      <c r="B176" s="2">
        <v>46012</v>
      </c>
      <c r="C176" t="s">
        <v>24</v>
      </c>
      <c r="D176" t="s">
        <v>28</v>
      </c>
      <c r="E176" t="s">
        <v>21</v>
      </c>
      <c r="F176">
        <v>6</v>
      </c>
      <c r="G176">
        <v>178.16</v>
      </c>
      <c r="H176">
        <v>0</v>
      </c>
      <c r="I176">
        <v>1068.96</v>
      </c>
      <c r="J176">
        <v>840.9</v>
      </c>
      <c r="K176">
        <v>228.06</v>
      </c>
      <c r="L176" t="s">
        <v>46</v>
      </c>
      <c r="M176">
        <v>0.21329999999999999</v>
      </c>
    </row>
    <row r="177" spans="1:13" x14ac:dyDescent="0.3">
      <c r="A177" t="s">
        <v>214</v>
      </c>
      <c r="B177" s="2">
        <v>45716</v>
      </c>
      <c r="C177" t="s">
        <v>14</v>
      </c>
      <c r="D177" t="s">
        <v>37</v>
      </c>
      <c r="E177" t="s">
        <v>16</v>
      </c>
      <c r="F177">
        <v>6</v>
      </c>
      <c r="G177">
        <v>381.73</v>
      </c>
      <c r="H177">
        <v>0</v>
      </c>
      <c r="I177">
        <v>2290.38</v>
      </c>
      <c r="J177">
        <v>1639.42</v>
      </c>
      <c r="K177">
        <v>650.96</v>
      </c>
      <c r="L177" t="s">
        <v>29</v>
      </c>
      <c r="M177">
        <v>0.28420000000000001</v>
      </c>
    </row>
    <row r="178" spans="1:13" x14ac:dyDescent="0.3">
      <c r="A178" t="s">
        <v>215</v>
      </c>
      <c r="B178" s="2">
        <v>45894</v>
      </c>
      <c r="C178" t="s">
        <v>32</v>
      </c>
      <c r="D178" t="s">
        <v>15</v>
      </c>
      <c r="E178" t="s">
        <v>16</v>
      </c>
      <c r="F178">
        <v>1</v>
      </c>
      <c r="G178">
        <v>407.85</v>
      </c>
      <c r="H178">
        <v>0.05</v>
      </c>
      <c r="I178">
        <v>387.46</v>
      </c>
      <c r="J178">
        <v>293.7</v>
      </c>
      <c r="K178">
        <v>93.76</v>
      </c>
      <c r="L178" t="s">
        <v>44</v>
      </c>
      <c r="M178">
        <v>0.24199999999999999</v>
      </c>
    </row>
    <row r="179" spans="1:13" x14ac:dyDescent="0.3">
      <c r="A179" t="s">
        <v>216</v>
      </c>
      <c r="B179" s="2">
        <v>45686</v>
      </c>
      <c r="C179" t="s">
        <v>32</v>
      </c>
      <c r="D179" t="s">
        <v>15</v>
      </c>
      <c r="E179" t="s">
        <v>16</v>
      </c>
      <c r="F179">
        <v>1</v>
      </c>
      <c r="G179">
        <v>245.5</v>
      </c>
      <c r="H179">
        <v>0.1</v>
      </c>
      <c r="I179">
        <v>220.95</v>
      </c>
      <c r="J179">
        <v>180.35</v>
      </c>
      <c r="K179">
        <v>40.6</v>
      </c>
      <c r="L179" t="s">
        <v>65</v>
      </c>
      <c r="M179">
        <v>0.18379999999999999</v>
      </c>
    </row>
    <row r="180" spans="1:13" x14ac:dyDescent="0.3">
      <c r="A180" t="s">
        <v>217</v>
      </c>
      <c r="B180" s="2">
        <v>45699</v>
      </c>
      <c r="C180" t="s">
        <v>24</v>
      </c>
      <c r="D180" t="s">
        <v>37</v>
      </c>
      <c r="E180" t="s">
        <v>16</v>
      </c>
      <c r="F180">
        <v>7</v>
      </c>
      <c r="G180">
        <v>351.79</v>
      </c>
      <c r="H180">
        <v>0.1</v>
      </c>
      <c r="I180">
        <v>2216.2800000000002</v>
      </c>
      <c r="J180">
        <v>1567.17</v>
      </c>
      <c r="K180">
        <v>649.11</v>
      </c>
      <c r="L180" t="s">
        <v>29</v>
      </c>
      <c r="M180">
        <v>0.29289999999999999</v>
      </c>
    </row>
    <row r="181" spans="1:13" x14ac:dyDescent="0.3">
      <c r="A181" t="s">
        <v>218</v>
      </c>
      <c r="B181" s="2">
        <v>45733</v>
      </c>
      <c r="C181" t="s">
        <v>19</v>
      </c>
      <c r="D181" t="s">
        <v>48</v>
      </c>
      <c r="E181" t="s">
        <v>16</v>
      </c>
      <c r="F181">
        <v>6</v>
      </c>
      <c r="G181">
        <v>593.66</v>
      </c>
      <c r="H181">
        <v>0</v>
      </c>
      <c r="I181">
        <v>3561.96</v>
      </c>
      <c r="J181">
        <v>2491.1999999999998</v>
      </c>
      <c r="K181">
        <v>1070.76</v>
      </c>
      <c r="L181" t="s">
        <v>49</v>
      </c>
      <c r="M181">
        <v>0.30059999999999998</v>
      </c>
    </row>
    <row r="182" spans="1:13" x14ac:dyDescent="0.3">
      <c r="A182" t="s">
        <v>219</v>
      </c>
      <c r="B182" s="2">
        <v>45876</v>
      </c>
      <c r="C182" t="s">
        <v>24</v>
      </c>
      <c r="D182" t="s">
        <v>28</v>
      </c>
      <c r="E182" t="s">
        <v>21</v>
      </c>
      <c r="F182">
        <v>2</v>
      </c>
      <c r="G182">
        <v>60.9</v>
      </c>
      <c r="H182">
        <v>0</v>
      </c>
      <c r="I182">
        <v>121.8</v>
      </c>
      <c r="J182">
        <v>78.430000000000007</v>
      </c>
      <c r="K182">
        <v>43.37</v>
      </c>
      <c r="L182" t="s">
        <v>44</v>
      </c>
      <c r="M182">
        <v>0.35610000000000003</v>
      </c>
    </row>
    <row r="183" spans="1:13" x14ac:dyDescent="0.3">
      <c r="A183" t="s">
        <v>220</v>
      </c>
      <c r="B183" s="2">
        <v>45847</v>
      </c>
      <c r="C183" t="s">
        <v>14</v>
      </c>
      <c r="D183" t="s">
        <v>37</v>
      </c>
      <c r="E183" t="s">
        <v>16</v>
      </c>
      <c r="F183">
        <v>4</v>
      </c>
      <c r="G183">
        <v>336.26</v>
      </c>
      <c r="H183">
        <v>0.05</v>
      </c>
      <c r="I183">
        <v>1277.79</v>
      </c>
      <c r="J183">
        <v>916.93</v>
      </c>
      <c r="K183">
        <v>360.86</v>
      </c>
      <c r="L183" t="s">
        <v>26</v>
      </c>
      <c r="M183">
        <v>0.28239999999999998</v>
      </c>
    </row>
    <row r="184" spans="1:13" x14ac:dyDescent="0.3">
      <c r="A184" t="s">
        <v>221</v>
      </c>
      <c r="B184" s="2">
        <v>45949</v>
      </c>
      <c r="C184" t="s">
        <v>19</v>
      </c>
      <c r="D184" t="s">
        <v>25</v>
      </c>
      <c r="E184" t="s">
        <v>21</v>
      </c>
      <c r="F184">
        <v>2</v>
      </c>
      <c r="G184">
        <v>51.62</v>
      </c>
      <c r="H184">
        <v>0.1</v>
      </c>
      <c r="I184">
        <v>92.92</v>
      </c>
      <c r="J184">
        <v>55.74</v>
      </c>
      <c r="K184">
        <v>37.18</v>
      </c>
      <c r="L184" t="s">
        <v>58</v>
      </c>
      <c r="M184">
        <v>0.40010000000000001</v>
      </c>
    </row>
    <row r="185" spans="1:13" x14ac:dyDescent="0.3">
      <c r="A185" t="s">
        <v>222</v>
      </c>
      <c r="B185" s="2">
        <v>45770</v>
      </c>
      <c r="C185" t="s">
        <v>19</v>
      </c>
      <c r="D185" t="s">
        <v>37</v>
      </c>
      <c r="E185" t="s">
        <v>16</v>
      </c>
      <c r="F185">
        <v>5</v>
      </c>
      <c r="G185">
        <v>260.68</v>
      </c>
      <c r="H185">
        <v>0</v>
      </c>
      <c r="I185">
        <v>1303.4000000000001</v>
      </c>
      <c r="J185">
        <v>867.23</v>
      </c>
      <c r="K185">
        <v>436.17</v>
      </c>
      <c r="L185" t="s">
        <v>17</v>
      </c>
      <c r="M185">
        <v>0.33460000000000001</v>
      </c>
    </row>
    <row r="186" spans="1:13" x14ac:dyDescent="0.3">
      <c r="A186" t="s">
        <v>223</v>
      </c>
      <c r="B186" s="2">
        <v>45726</v>
      </c>
      <c r="C186" t="s">
        <v>24</v>
      </c>
      <c r="D186" t="s">
        <v>15</v>
      </c>
      <c r="E186" t="s">
        <v>16</v>
      </c>
      <c r="F186">
        <v>3</v>
      </c>
      <c r="G186">
        <v>626.16999999999996</v>
      </c>
      <c r="H186">
        <v>0</v>
      </c>
      <c r="I186">
        <v>1878.51</v>
      </c>
      <c r="J186">
        <v>1519.68</v>
      </c>
      <c r="K186">
        <v>358.83</v>
      </c>
      <c r="L186" t="s">
        <v>49</v>
      </c>
      <c r="M186">
        <v>0.191</v>
      </c>
    </row>
    <row r="187" spans="1:13" x14ac:dyDescent="0.3">
      <c r="A187" t="s">
        <v>224</v>
      </c>
      <c r="B187" s="2">
        <v>45994</v>
      </c>
      <c r="C187" t="s">
        <v>14</v>
      </c>
      <c r="D187" t="s">
        <v>48</v>
      </c>
      <c r="E187" t="s">
        <v>16</v>
      </c>
      <c r="F187">
        <v>2</v>
      </c>
      <c r="G187">
        <v>570.27</v>
      </c>
      <c r="H187">
        <v>0</v>
      </c>
      <c r="I187">
        <v>1140.54</v>
      </c>
      <c r="J187">
        <v>824.4</v>
      </c>
      <c r="K187">
        <v>316.14</v>
      </c>
      <c r="L187" t="s">
        <v>46</v>
      </c>
      <c r="M187">
        <v>0.2772</v>
      </c>
    </row>
    <row r="188" spans="1:13" x14ac:dyDescent="0.3">
      <c r="A188" t="s">
        <v>225</v>
      </c>
      <c r="B188" s="2">
        <v>45730</v>
      </c>
      <c r="C188" t="s">
        <v>32</v>
      </c>
      <c r="D188" t="s">
        <v>20</v>
      </c>
      <c r="E188" t="s">
        <v>21</v>
      </c>
      <c r="F188">
        <v>5</v>
      </c>
      <c r="G188">
        <v>39.69</v>
      </c>
      <c r="H188">
        <v>0.05</v>
      </c>
      <c r="I188">
        <v>188.53</v>
      </c>
      <c r="J188">
        <v>130.81</v>
      </c>
      <c r="K188">
        <v>57.72</v>
      </c>
      <c r="L188" t="s">
        <v>49</v>
      </c>
      <c r="M188">
        <v>0.30620000000000003</v>
      </c>
    </row>
    <row r="189" spans="1:13" x14ac:dyDescent="0.3">
      <c r="A189" t="s">
        <v>226</v>
      </c>
      <c r="B189" s="2">
        <v>45682</v>
      </c>
      <c r="C189" t="s">
        <v>19</v>
      </c>
      <c r="D189" t="s">
        <v>72</v>
      </c>
      <c r="E189" t="s">
        <v>16</v>
      </c>
      <c r="F189">
        <v>1</v>
      </c>
      <c r="G189">
        <v>197.33</v>
      </c>
      <c r="H189">
        <v>0.1</v>
      </c>
      <c r="I189">
        <v>177.6</v>
      </c>
      <c r="J189">
        <v>128.51</v>
      </c>
      <c r="K189">
        <v>49.09</v>
      </c>
      <c r="L189" t="s">
        <v>65</v>
      </c>
      <c r="M189">
        <v>0.27639999999999998</v>
      </c>
    </row>
    <row r="190" spans="1:13" x14ac:dyDescent="0.3">
      <c r="A190" t="s">
        <v>227</v>
      </c>
      <c r="B190" s="2">
        <v>45759</v>
      </c>
      <c r="C190" t="s">
        <v>14</v>
      </c>
      <c r="D190" t="s">
        <v>20</v>
      </c>
      <c r="E190" t="s">
        <v>21</v>
      </c>
      <c r="F190">
        <v>3</v>
      </c>
      <c r="G190">
        <v>32.39</v>
      </c>
      <c r="H190">
        <v>0</v>
      </c>
      <c r="I190">
        <v>97.17</v>
      </c>
      <c r="J190">
        <v>78.930000000000007</v>
      </c>
      <c r="K190">
        <v>18.239999999999998</v>
      </c>
      <c r="L190" t="s">
        <v>17</v>
      </c>
      <c r="M190">
        <v>0.18770000000000001</v>
      </c>
    </row>
    <row r="191" spans="1:13" x14ac:dyDescent="0.3">
      <c r="A191" t="s">
        <v>228</v>
      </c>
      <c r="B191" s="2">
        <v>45674</v>
      </c>
      <c r="C191" t="s">
        <v>14</v>
      </c>
      <c r="D191" t="s">
        <v>41</v>
      </c>
      <c r="E191" t="s">
        <v>21</v>
      </c>
      <c r="F191">
        <v>3</v>
      </c>
      <c r="G191">
        <v>31.82</v>
      </c>
      <c r="H191">
        <v>0.1</v>
      </c>
      <c r="I191">
        <v>85.91</v>
      </c>
      <c r="J191">
        <v>69.66</v>
      </c>
      <c r="K191">
        <v>16.25</v>
      </c>
      <c r="L191" t="s">
        <v>65</v>
      </c>
      <c r="M191">
        <v>0.18920000000000001</v>
      </c>
    </row>
    <row r="192" spans="1:13" x14ac:dyDescent="0.3">
      <c r="A192" t="s">
        <v>229</v>
      </c>
      <c r="B192" s="2">
        <v>45996</v>
      </c>
      <c r="C192" t="s">
        <v>24</v>
      </c>
      <c r="D192" t="s">
        <v>48</v>
      </c>
      <c r="E192" t="s">
        <v>16</v>
      </c>
      <c r="F192">
        <v>7</v>
      </c>
      <c r="G192">
        <v>888.85</v>
      </c>
      <c r="H192">
        <v>0</v>
      </c>
      <c r="I192">
        <v>6221.95</v>
      </c>
      <c r="J192">
        <v>5039.54</v>
      </c>
      <c r="K192">
        <v>1182.4100000000001</v>
      </c>
      <c r="L192" t="s">
        <v>46</v>
      </c>
      <c r="M192">
        <v>0.19</v>
      </c>
    </row>
    <row r="193" spans="1:13" x14ac:dyDescent="0.3">
      <c r="A193" t="s">
        <v>230</v>
      </c>
      <c r="B193" s="2">
        <v>45857</v>
      </c>
      <c r="C193" t="s">
        <v>32</v>
      </c>
      <c r="D193" t="s">
        <v>15</v>
      </c>
      <c r="E193" t="s">
        <v>16</v>
      </c>
      <c r="F193">
        <v>5</v>
      </c>
      <c r="G193">
        <v>536.75</v>
      </c>
      <c r="H193">
        <v>0.1</v>
      </c>
      <c r="I193">
        <v>2415.38</v>
      </c>
      <c r="J193">
        <v>1770.32</v>
      </c>
      <c r="K193">
        <v>645.05999999999995</v>
      </c>
      <c r="L193" t="s">
        <v>26</v>
      </c>
      <c r="M193">
        <v>0.2671</v>
      </c>
    </row>
    <row r="194" spans="1:13" x14ac:dyDescent="0.3">
      <c r="A194" t="s">
        <v>231</v>
      </c>
      <c r="B194" s="2">
        <v>45683</v>
      </c>
      <c r="C194" t="s">
        <v>19</v>
      </c>
      <c r="D194" t="s">
        <v>37</v>
      </c>
      <c r="E194" t="s">
        <v>16</v>
      </c>
      <c r="F194">
        <v>1</v>
      </c>
      <c r="G194">
        <v>340.47</v>
      </c>
      <c r="H194">
        <v>0.05</v>
      </c>
      <c r="I194">
        <v>323.45</v>
      </c>
      <c r="J194">
        <v>191.61</v>
      </c>
      <c r="K194">
        <v>131.84</v>
      </c>
      <c r="L194" t="s">
        <v>65</v>
      </c>
      <c r="M194">
        <v>0.40760000000000002</v>
      </c>
    </row>
    <row r="195" spans="1:13" x14ac:dyDescent="0.3">
      <c r="A195" t="s">
        <v>232</v>
      </c>
      <c r="B195" s="2">
        <v>45743</v>
      </c>
      <c r="C195" t="s">
        <v>14</v>
      </c>
      <c r="D195" t="s">
        <v>72</v>
      </c>
      <c r="E195" t="s">
        <v>16</v>
      </c>
      <c r="F195">
        <v>2</v>
      </c>
      <c r="G195">
        <v>242.95</v>
      </c>
      <c r="H195">
        <v>0.15</v>
      </c>
      <c r="I195">
        <v>413.02</v>
      </c>
      <c r="J195">
        <v>294.64999999999998</v>
      </c>
      <c r="K195">
        <v>118.37</v>
      </c>
      <c r="L195" t="s">
        <v>49</v>
      </c>
      <c r="M195">
        <v>0.28660000000000002</v>
      </c>
    </row>
    <row r="196" spans="1:13" x14ac:dyDescent="0.3">
      <c r="A196" t="s">
        <v>233</v>
      </c>
      <c r="B196" s="2">
        <v>45985</v>
      </c>
      <c r="C196" t="s">
        <v>14</v>
      </c>
      <c r="D196" t="s">
        <v>15</v>
      </c>
      <c r="E196" t="s">
        <v>16</v>
      </c>
      <c r="F196">
        <v>6</v>
      </c>
      <c r="G196">
        <v>236.65</v>
      </c>
      <c r="H196">
        <v>0.1</v>
      </c>
      <c r="I196">
        <v>1277.9100000000001</v>
      </c>
      <c r="J196">
        <v>800.26</v>
      </c>
      <c r="K196">
        <v>477.65</v>
      </c>
      <c r="L196" t="s">
        <v>35</v>
      </c>
      <c r="M196">
        <v>0.37380000000000002</v>
      </c>
    </row>
    <row r="197" spans="1:13" x14ac:dyDescent="0.3">
      <c r="A197" t="s">
        <v>234</v>
      </c>
      <c r="B197" s="2">
        <v>45760</v>
      </c>
      <c r="C197" t="s">
        <v>32</v>
      </c>
      <c r="D197" t="s">
        <v>20</v>
      </c>
      <c r="E197" t="s">
        <v>21</v>
      </c>
      <c r="F197">
        <v>7</v>
      </c>
      <c r="G197">
        <v>100.56</v>
      </c>
      <c r="H197">
        <v>0.1</v>
      </c>
      <c r="I197">
        <v>633.53</v>
      </c>
      <c r="J197">
        <v>375.79</v>
      </c>
      <c r="K197">
        <v>257.74</v>
      </c>
      <c r="L197" t="s">
        <v>17</v>
      </c>
      <c r="M197">
        <v>0.40679999999999999</v>
      </c>
    </row>
    <row r="198" spans="1:13" x14ac:dyDescent="0.3">
      <c r="A198" t="s">
        <v>235</v>
      </c>
      <c r="B198" s="2">
        <v>45788</v>
      </c>
      <c r="C198" t="s">
        <v>32</v>
      </c>
      <c r="D198" t="s">
        <v>25</v>
      </c>
      <c r="E198" t="s">
        <v>21</v>
      </c>
      <c r="F198">
        <v>7</v>
      </c>
      <c r="G198">
        <v>77.41</v>
      </c>
      <c r="H198">
        <v>0.05</v>
      </c>
      <c r="I198">
        <v>514.78</v>
      </c>
      <c r="J198">
        <v>358.01</v>
      </c>
      <c r="K198">
        <v>156.77000000000001</v>
      </c>
      <c r="L198" t="s">
        <v>33</v>
      </c>
      <c r="M198">
        <v>0.30449999999999999</v>
      </c>
    </row>
    <row r="199" spans="1:13" x14ac:dyDescent="0.3">
      <c r="A199" t="s">
        <v>236</v>
      </c>
      <c r="B199" s="2">
        <v>45661</v>
      </c>
      <c r="C199" t="s">
        <v>32</v>
      </c>
      <c r="D199" t="s">
        <v>20</v>
      </c>
      <c r="E199" t="s">
        <v>21</v>
      </c>
      <c r="F199">
        <v>2</v>
      </c>
      <c r="G199">
        <v>93.85</v>
      </c>
      <c r="H199">
        <v>0</v>
      </c>
      <c r="I199">
        <v>187.7</v>
      </c>
      <c r="J199">
        <v>123.07</v>
      </c>
      <c r="K199">
        <v>64.63</v>
      </c>
      <c r="L199" t="s">
        <v>65</v>
      </c>
      <c r="M199">
        <v>0.34429999999999999</v>
      </c>
    </row>
    <row r="200" spans="1:13" x14ac:dyDescent="0.3">
      <c r="A200" t="s">
        <v>237</v>
      </c>
      <c r="B200" s="2">
        <v>45765</v>
      </c>
      <c r="C200" t="s">
        <v>14</v>
      </c>
      <c r="D200" t="s">
        <v>25</v>
      </c>
      <c r="E200" t="s">
        <v>21</v>
      </c>
      <c r="F200">
        <v>1</v>
      </c>
      <c r="G200">
        <v>125.92</v>
      </c>
      <c r="H200">
        <v>0.05</v>
      </c>
      <c r="I200">
        <v>119.62</v>
      </c>
      <c r="J200">
        <v>81.63</v>
      </c>
      <c r="K200">
        <v>37.99</v>
      </c>
      <c r="L200" t="s">
        <v>17</v>
      </c>
      <c r="M200">
        <v>0.31759999999999999</v>
      </c>
    </row>
    <row r="201" spans="1:13" x14ac:dyDescent="0.3">
      <c r="A201" t="s">
        <v>238</v>
      </c>
      <c r="B201" s="2">
        <v>45926</v>
      </c>
      <c r="C201" t="s">
        <v>32</v>
      </c>
      <c r="D201" t="s">
        <v>37</v>
      </c>
      <c r="E201" t="s">
        <v>16</v>
      </c>
      <c r="F201">
        <v>7</v>
      </c>
      <c r="G201">
        <v>283.2</v>
      </c>
      <c r="H201">
        <v>0.15</v>
      </c>
      <c r="I201">
        <v>1685.04</v>
      </c>
      <c r="J201">
        <v>977.42</v>
      </c>
      <c r="K201">
        <v>707.62</v>
      </c>
      <c r="L201" t="s">
        <v>38</v>
      </c>
      <c r="M201">
        <v>0.4199</v>
      </c>
    </row>
    <row r="202" spans="1:13" x14ac:dyDescent="0.3">
      <c r="A202" t="s">
        <v>239</v>
      </c>
      <c r="B202" s="2">
        <v>45975</v>
      </c>
      <c r="C202" t="s">
        <v>32</v>
      </c>
      <c r="D202" t="s">
        <v>37</v>
      </c>
      <c r="E202" t="s">
        <v>16</v>
      </c>
      <c r="F202">
        <v>3</v>
      </c>
      <c r="G202">
        <v>161.71</v>
      </c>
      <c r="H202">
        <v>0</v>
      </c>
      <c r="I202">
        <v>485.13</v>
      </c>
      <c r="J202">
        <v>287.51</v>
      </c>
      <c r="K202">
        <v>197.62</v>
      </c>
      <c r="L202" t="s">
        <v>35</v>
      </c>
      <c r="M202">
        <v>0.40739999999999998</v>
      </c>
    </row>
    <row r="203" spans="1:13" x14ac:dyDescent="0.3">
      <c r="A203" t="s">
        <v>240</v>
      </c>
      <c r="B203" s="2">
        <v>46016</v>
      </c>
      <c r="C203" t="s">
        <v>24</v>
      </c>
      <c r="D203" t="s">
        <v>41</v>
      </c>
      <c r="E203" t="s">
        <v>21</v>
      </c>
      <c r="F203">
        <v>1</v>
      </c>
      <c r="G203">
        <v>48.59</v>
      </c>
      <c r="H203">
        <v>0</v>
      </c>
      <c r="I203">
        <v>48.59</v>
      </c>
      <c r="J203">
        <v>32.83</v>
      </c>
      <c r="K203">
        <v>15.76</v>
      </c>
      <c r="L203" t="s">
        <v>46</v>
      </c>
      <c r="M203">
        <v>0.32429999999999998</v>
      </c>
    </row>
    <row r="204" spans="1:13" x14ac:dyDescent="0.3">
      <c r="A204" t="s">
        <v>241</v>
      </c>
      <c r="B204" s="2">
        <v>45815</v>
      </c>
      <c r="C204" t="s">
        <v>14</v>
      </c>
      <c r="D204" t="s">
        <v>28</v>
      </c>
      <c r="E204" t="s">
        <v>21</v>
      </c>
      <c r="F204">
        <v>1</v>
      </c>
      <c r="G204">
        <v>79.17</v>
      </c>
      <c r="H204">
        <v>0</v>
      </c>
      <c r="I204">
        <v>79.17</v>
      </c>
      <c r="J204">
        <v>52.66</v>
      </c>
      <c r="K204">
        <v>26.51</v>
      </c>
      <c r="L204" t="s">
        <v>22</v>
      </c>
      <c r="M204">
        <v>0.33479999999999999</v>
      </c>
    </row>
    <row r="205" spans="1:13" x14ac:dyDescent="0.3">
      <c r="A205" t="s">
        <v>242</v>
      </c>
      <c r="B205" s="2">
        <v>45730</v>
      </c>
      <c r="C205" t="s">
        <v>19</v>
      </c>
      <c r="D205" t="s">
        <v>41</v>
      </c>
      <c r="E205" t="s">
        <v>21</v>
      </c>
      <c r="F205">
        <v>2</v>
      </c>
      <c r="G205">
        <v>26.72</v>
      </c>
      <c r="H205">
        <v>0</v>
      </c>
      <c r="I205">
        <v>53.44</v>
      </c>
      <c r="J205">
        <v>31.22</v>
      </c>
      <c r="K205">
        <v>22.22</v>
      </c>
      <c r="L205" t="s">
        <v>49</v>
      </c>
      <c r="M205">
        <v>0.4158</v>
      </c>
    </row>
    <row r="206" spans="1:13" x14ac:dyDescent="0.3">
      <c r="A206" t="s">
        <v>243</v>
      </c>
      <c r="B206" s="2">
        <v>45718</v>
      </c>
      <c r="C206" t="s">
        <v>32</v>
      </c>
      <c r="D206" t="s">
        <v>48</v>
      </c>
      <c r="E206" t="s">
        <v>16</v>
      </c>
      <c r="F206">
        <v>1</v>
      </c>
      <c r="G206">
        <v>991.77</v>
      </c>
      <c r="H206">
        <v>0</v>
      </c>
      <c r="I206">
        <v>991.77</v>
      </c>
      <c r="J206">
        <v>801.34</v>
      </c>
      <c r="K206">
        <v>190.43</v>
      </c>
      <c r="L206" t="s">
        <v>49</v>
      </c>
      <c r="M206">
        <v>0.192</v>
      </c>
    </row>
    <row r="207" spans="1:13" x14ac:dyDescent="0.3">
      <c r="A207" t="s">
        <v>244</v>
      </c>
      <c r="B207" s="2">
        <v>45668</v>
      </c>
      <c r="C207" t="s">
        <v>14</v>
      </c>
      <c r="D207" t="s">
        <v>20</v>
      </c>
      <c r="E207" t="s">
        <v>21</v>
      </c>
      <c r="F207">
        <v>4</v>
      </c>
      <c r="G207">
        <v>64.67</v>
      </c>
      <c r="H207">
        <v>0.1</v>
      </c>
      <c r="I207">
        <v>232.81</v>
      </c>
      <c r="J207">
        <v>187.82</v>
      </c>
      <c r="K207">
        <v>44.99</v>
      </c>
      <c r="L207" t="s">
        <v>65</v>
      </c>
      <c r="M207">
        <v>0.19320000000000001</v>
      </c>
    </row>
    <row r="208" spans="1:13" x14ac:dyDescent="0.3">
      <c r="A208" t="s">
        <v>245</v>
      </c>
      <c r="B208" s="2">
        <v>45805</v>
      </c>
      <c r="C208" t="s">
        <v>32</v>
      </c>
      <c r="D208" t="s">
        <v>28</v>
      </c>
      <c r="E208" t="s">
        <v>21</v>
      </c>
      <c r="F208">
        <v>2</v>
      </c>
      <c r="G208">
        <v>65.900000000000006</v>
      </c>
      <c r="H208">
        <v>0.15</v>
      </c>
      <c r="I208">
        <v>112.03</v>
      </c>
      <c r="J208">
        <v>71.209999999999994</v>
      </c>
      <c r="K208">
        <v>40.82</v>
      </c>
      <c r="L208" t="s">
        <v>33</v>
      </c>
      <c r="M208">
        <v>0.3644</v>
      </c>
    </row>
    <row r="209" spans="1:13" x14ac:dyDescent="0.3">
      <c r="A209" t="s">
        <v>246</v>
      </c>
      <c r="B209" s="2">
        <v>45883</v>
      </c>
      <c r="C209" t="s">
        <v>32</v>
      </c>
      <c r="D209" t="s">
        <v>15</v>
      </c>
      <c r="E209" t="s">
        <v>16</v>
      </c>
      <c r="F209">
        <v>6</v>
      </c>
      <c r="G209">
        <v>465.64</v>
      </c>
      <c r="H209">
        <v>0.05</v>
      </c>
      <c r="I209">
        <v>2654.15</v>
      </c>
      <c r="J209">
        <v>1686.34</v>
      </c>
      <c r="K209">
        <v>967.81</v>
      </c>
      <c r="L209" t="s">
        <v>44</v>
      </c>
      <c r="M209">
        <v>0.36459999999999998</v>
      </c>
    </row>
    <row r="210" spans="1:13" x14ac:dyDescent="0.3">
      <c r="A210" t="s">
        <v>247</v>
      </c>
      <c r="B210" s="2">
        <v>45918</v>
      </c>
      <c r="C210" t="s">
        <v>14</v>
      </c>
      <c r="D210" t="s">
        <v>37</v>
      </c>
      <c r="E210" t="s">
        <v>16</v>
      </c>
      <c r="F210">
        <v>1</v>
      </c>
      <c r="G210">
        <v>197.8</v>
      </c>
      <c r="H210">
        <v>0.1</v>
      </c>
      <c r="I210">
        <v>178.02</v>
      </c>
      <c r="J210">
        <v>118.21</v>
      </c>
      <c r="K210">
        <v>59.81</v>
      </c>
      <c r="L210" t="s">
        <v>38</v>
      </c>
      <c r="M210">
        <v>0.33600000000000002</v>
      </c>
    </row>
    <row r="211" spans="1:13" x14ac:dyDescent="0.3">
      <c r="A211" t="s">
        <v>248</v>
      </c>
      <c r="B211" s="2">
        <v>45718</v>
      </c>
      <c r="C211" t="s">
        <v>19</v>
      </c>
      <c r="D211" t="s">
        <v>15</v>
      </c>
      <c r="E211" t="s">
        <v>16</v>
      </c>
      <c r="F211">
        <v>7</v>
      </c>
      <c r="G211">
        <v>595.38</v>
      </c>
      <c r="H211">
        <v>0.15</v>
      </c>
      <c r="I211">
        <v>3542.51</v>
      </c>
      <c r="J211">
        <v>2900.53</v>
      </c>
      <c r="K211">
        <v>641.98</v>
      </c>
      <c r="L211" t="s">
        <v>49</v>
      </c>
      <c r="M211">
        <v>0.1812</v>
      </c>
    </row>
    <row r="212" spans="1:13" x14ac:dyDescent="0.3">
      <c r="A212" t="s">
        <v>249</v>
      </c>
      <c r="B212" s="2">
        <v>45817</v>
      </c>
      <c r="C212" t="s">
        <v>19</v>
      </c>
      <c r="D212" t="s">
        <v>37</v>
      </c>
      <c r="E212" t="s">
        <v>16</v>
      </c>
      <c r="F212">
        <v>3</v>
      </c>
      <c r="G212">
        <v>375.05</v>
      </c>
      <c r="H212">
        <v>0.05</v>
      </c>
      <c r="I212">
        <v>1068.8900000000001</v>
      </c>
      <c r="J212">
        <v>659.44</v>
      </c>
      <c r="K212">
        <v>409.45</v>
      </c>
      <c r="L212" t="s">
        <v>22</v>
      </c>
      <c r="M212">
        <v>0.3831</v>
      </c>
    </row>
    <row r="213" spans="1:13" x14ac:dyDescent="0.3">
      <c r="A213" t="s">
        <v>250</v>
      </c>
      <c r="B213" s="2">
        <v>46014</v>
      </c>
      <c r="C213" t="s">
        <v>14</v>
      </c>
      <c r="D213" t="s">
        <v>25</v>
      </c>
      <c r="E213" t="s">
        <v>21</v>
      </c>
      <c r="F213">
        <v>5</v>
      </c>
      <c r="G213">
        <v>59.1</v>
      </c>
      <c r="H213">
        <v>0.05</v>
      </c>
      <c r="I213">
        <v>280.72000000000003</v>
      </c>
      <c r="J213">
        <v>202.77</v>
      </c>
      <c r="K213">
        <v>77.95</v>
      </c>
      <c r="L213" t="s">
        <v>46</v>
      </c>
      <c r="M213">
        <v>0.2777</v>
      </c>
    </row>
    <row r="214" spans="1:13" x14ac:dyDescent="0.3">
      <c r="A214" t="s">
        <v>251</v>
      </c>
      <c r="B214" s="2">
        <v>45852</v>
      </c>
      <c r="C214" t="s">
        <v>32</v>
      </c>
      <c r="D214" t="s">
        <v>20</v>
      </c>
      <c r="E214" t="s">
        <v>21</v>
      </c>
      <c r="F214">
        <v>1</v>
      </c>
      <c r="G214">
        <v>62.16</v>
      </c>
      <c r="H214">
        <v>0</v>
      </c>
      <c r="I214">
        <v>62.16</v>
      </c>
      <c r="J214">
        <v>43.16</v>
      </c>
      <c r="K214">
        <v>19</v>
      </c>
      <c r="L214" t="s">
        <v>26</v>
      </c>
      <c r="M214">
        <v>0.30570000000000003</v>
      </c>
    </row>
    <row r="215" spans="1:13" x14ac:dyDescent="0.3">
      <c r="A215" t="s">
        <v>252</v>
      </c>
      <c r="B215" s="2">
        <v>45883</v>
      </c>
      <c r="C215" t="s">
        <v>24</v>
      </c>
      <c r="D215" t="s">
        <v>37</v>
      </c>
      <c r="E215" t="s">
        <v>16</v>
      </c>
      <c r="F215">
        <v>4</v>
      </c>
      <c r="G215">
        <v>150.97999999999999</v>
      </c>
      <c r="H215">
        <v>0</v>
      </c>
      <c r="I215">
        <v>603.91999999999996</v>
      </c>
      <c r="J215">
        <v>485.3</v>
      </c>
      <c r="K215">
        <v>118.62</v>
      </c>
      <c r="L215" t="s">
        <v>44</v>
      </c>
      <c r="M215">
        <v>0.19639999999999999</v>
      </c>
    </row>
    <row r="216" spans="1:13" x14ac:dyDescent="0.3">
      <c r="A216" t="s">
        <v>253</v>
      </c>
      <c r="B216" s="2">
        <v>45694</v>
      </c>
      <c r="C216" t="s">
        <v>24</v>
      </c>
      <c r="D216" t="s">
        <v>41</v>
      </c>
      <c r="E216" t="s">
        <v>21</v>
      </c>
      <c r="F216">
        <v>7</v>
      </c>
      <c r="G216">
        <v>12.32</v>
      </c>
      <c r="H216">
        <v>0.05</v>
      </c>
      <c r="I216">
        <v>81.93</v>
      </c>
      <c r="J216">
        <v>48.48</v>
      </c>
      <c r="K216">
        <v>33.450000000000003</v>
      </c>
      <c r="L216" t="s">
        <v>29</v>
      </c>
      <c r="M216">
        <v>0.4083</v>
      </c>
    </row>
    <row r="217" spans="1:13" x14ac:dyDescent="0.3">
      <c r="A217" t="s">
        <v>254</v>
      </c>
      <c r="B217" s="2">
        <v>45958</v>
      </c>
      <c r="C217" t="s">
        <v>24</v>
      </c>
      <c r="D217" t="s">
        <v>72</v>
      </c>
      <c r="E217" t="s">
        <v>16</v>
      </c>
      <c r="F217">
        <v>5</v>
      </c>
      <c r="G217">
        <v>322.56</v>
      </c>
      <c r="H217">
        <v>0.15</v>
      </c>
      <c r="I217">
        <v>1370.88</v>
      </c>
      <c r="J217">
        <v>815.35</v>
      </c>
      <c r="K217">
        <v>555.53</v>
      </c>
      <c r="L217" t="s">
        <v>58</v>
      </c>
      <c r="M217">
        <v>0.4052</v>
      </c>
    </row>
    <row r="218" spans="1:13" x14ac:dyDescent="0.3">
      <c r="A218" t="s">
        <v>255</v>
      </c>
      <c r="B218" s="2">
        <v>45697</v>
      </c>
      <c r="C218" t="s">
        <v>19</v>
      </c>
      <c r="D218" t="s">
        <v>25</v>
      </c>
      <c r="E218" t="s">
        <v>21</v>
      </c>
      <c r="F218">
        <v>5</v>
      </c>
      <c r="G218">
        <v>147.85</v>
      </c>
      <c r="H218">
        <v>0.05</v>
      </c>
      <c r="I218">
        <v>702.29</v>
      </c>
      <c r="J218">
        <v>518.92999999999995</v>
      </c>
      <c r="K218">
        <v>183.36</v>
      </c>
      <c r="L218" t="s">
        <v>29</v>
      </c>
      <c r="M218">
        <v>0.2611</v>
      </c>
    </row>
    <row r="219" spans="1:13" x14ac:dyDescent="0.3">
      <c r="A219" t="s">
        <v>256</v>
      </c>
      <c r="B219" s="2">
        <v>45749</v>
      </c>
      <c r="C219" t="s">
        <v>32</v>
      </c>
      <c r="D219" t="s">
        <v>28</v>
      </c>
      <c r="E219" t="s">
        <v>21</v>
      </c>
      <c r="F219">
        <v>5</v>
      </c>
      <c r="G219">
        <v>170.77</v>
      </c>
      <c r="H219">
        <v>0.05</v>
      </c>
      <c r="I219">
        <v>811.16</v>
      </c>
      <c r="J219">
        <v>639.48</v>
      </c>
      <c r="K219">
        <v>171.68</v>
      </c>
      <c r="L219" t="s">
        <v>17</v>
      </c>
      <c r="M219">
        <v>0.21160000000000001</v>
      </c>
    </row>
    <row r="220" spans="1:13" x14ac:dyDescent="0.3">
      <c r="A220" t="s">
        <v>257</v>
      </c>
      <c r="B220" s="2">
        <v>45838</v>
      </c>
      <c r="C220" t="s">
        <v>14</v>
      </c>
      <c r="D220" t="s">
        <v>20</v>
      </c>
      <c r="E220" t="s">
        <v>21</v>
      </c>
      <c r="F220">
        <v>3</v>
      </c>
      <c r="G220">
        <v>40.24</v>
      </c>
      <c r="H220">
        <v>0</v>
      </c>
      <c r="I220">
        <v>120.72</v>
      </c>
      <c r="J220">
        <v>76.930000000000007</v>
      </c>
      <c r="K220">
        <v>43.79</v>
      </c>
      <c r="L220" t="s">
        <v>22</v>
      </c>
      <c r="M220">
        <v>0.36270000000000002</v>
      </c>
    </row>
    <row r="221" spans="1:13" x14ac:dyDescent="0.3">
      <c r="A221" t="s">
        <v>258</v>
      </c>
      <c r="B221" s="2">
        <v>45702</v>
      </c>
      <c r="C221" t="s">
        <v>14</v>
      </c>
      <c r="D221" t="s">
        <v>41</v>
      </c>
      <c r="E221" t="s">
        <v>21</v>
      </c>
      <c r="F221">
        <v>7</v>
      </c>
      <c r="G221">
        <v>56.04</v>
      </c>
      <c r="H221">
        <v>0</v>
      </c>
      <c r="I221">
        <v>392.28</v>
      </c>
      <c r="J221">
        <v>310.52999999999997</v>
      </c>
      <c r="K221">
        <v>81.75</v>
      </c>
      <c r="L221" t="s">
        <v>29</v>
      </c>
      <c r="M221">
        <v>0.2084</v>
      </c>
    </row>
    <row r="222" spans="1:13" x14ac:dyDescent="0.3">
      <c r="A222" t="s">
        <v>259</v>
      </c>
      <c r="B222" s="2">
        <v>45815</v>
      </c>
      <c r="C222" t="s">
        <v>19</v>
      </c>
      <c r="D222" t="s">
        <v>48</v>
      </c>
      <c r="E222" t="s">
        <v>16</v>
      </c>
      <c r="F222">
        <v>3</v>
      </c>
      <c r="G222">
        <v>1121.4000000000001</v>
      </c>
      <c r="H222">
        <v>0</v>
      </c>
      <c r="I222">
        <v>3364.2</v>
      </c>
      <c r="J222">
        <v>2613.27</v>
      </c>
      <c r="K222">
        <v>750.93</v>
      </c>
      <c r="L222" t="s">
        <v>22</v>
      </c>
      <c r="M222">
        <v>0.22320000000000001</v>
      </c>
    </row>
    <row r="223" spans="1:13" x14ac:dyDescent="0.3">
      <c r="A223" t="s">
        <v>260</v>
      </c>
      <c r="B223" s="2">
        <v>45952</v>
      </c>
      <c r="C223" t="s">
        <v>14</v>
      </c>
      <c r="D223" t="s">
        <v>15</v>
      </c>
      <c r="E223" t="s">
        <v>16</v>
      </c>
      <c r="F223">
        <v>2</v>
      </c>
      <c r="G223">
        <v>564.44000000000005</v>
      </c>
      <c r="H223">
        <v>0.1</v>
      </c>
      <c r="I223">
        <v>1015.99</v>
      </c>
      <c r="J223">
        <v>713.01</v>
      </c>
      <c r="K223">
        <v>302.98</v>
      </c>
      <c r="L223" t="s">
        <v>58</v>
      </c>
      <c r="M223">
        <v>0.29820000000000002</v>
      </c>
    </row>
    <row r="224" spans="1:13" x14ac:dyDescent="0.3">
      <c r="A224" t="s">
        <v>261</v>
      </c>
      <c r="B224" s="2">
        <v>45880</v>
      </c>
      <c r="C224" t="s">
        <v>14</v>
      </c>
      <c r="D224" t="s">
        <v>72</v>
      </c>
      <c r="E224" t="s">
        <v>16</v>
      </c>
      <c r="F224">
        <v>5</v>
      </c>
      <c r="G224">
        <v>250.4</v>
      </c>
      <c r="H224">
        <v>0.15</v>
      </c>
      <c r="I224">
        <v>1064.2</v>
      </c>
      <c r="J224">
        <v>778.61</v>
      </c>
      <c r="K224">
        <v>285.58999999999997</v>
      </c>
      <c r="L224" t="s">
        <v>44</v>
      </c>
      <c r="M224">
        <v>0.26840000000000003</v>
      </c>
    </row>
    <row r="225" spans="1:13" x14ac:dyDescent="0.3">
      <c r="A225" t="s">
        <v>262</v>
      </c>
      <c r="B225" s="2">
        <v>45731</v>
      </c>
      <c r="C225" t="s">
        <v>32</v>
      </c>
      <c r="D225" t="s">
        <v>41</v>
      </c>
      <c r="E225" t="s">
        <v>21</v>
      </c>
      <c r="F225">
        <v>5</v>
      </c>
      <c r="G225">
        <v>61.13</v>
      </c>
      <c r="H225">
        <v>0</v>
      </c>
      <c r="I225">
        <v>305.64999999999998</v>
      </c>
      <c r="J225">
        <v>233.1</v>
      </c>
      <c r="K225">
        <v>72.55</v>
      </c>
      <c r="L225" t="s">
        <v>49</v>
      </c>
      <c r="M225">
        <v>0.2374</v>
      </c>
    </row>
    <row r="226" spans="1:13" x14ac:dyDescent="0.3">
      <c r="A226" t="s">
        <v>263</v>
      </c>
      <c r="B226" s="2">
        <v>45935</v>
      </c>
      <c r="C226" t="s">
        <v>24</v>
      </c>
      <c r="D226" t="s">
        <v>72</v>
      </c>
      <c r="E226" t="s">
        <v>16</v>
      </c>
      <c r="F226">
        <v>2</v>
      </c>
      <c r="G226">
        <v>178.89</v>
      </c>
      <c r="H226">
        <v>0.05</v>
      </c>
      <c r="I226">
        <v>339.89</v>
      </c>
      <c r="J226">
        <v>273.17</v>
      </c>
      <c r="K226">
        <v>66.72</v>
      </c>
      <c r="L226" t="s">
        <v>58</v>
      </c>
      <c r="M226">
        <v>0.1963</v>
      </c>
    </row>
    <row r="227" spans="1:13" x14ac:dyDescent="0.3">
      <c r="A227" t="s">
        <v>264</v>
      </c>
      <c r="B227" s="2">
        <v>45850</v>
      </c>
      <c r="C227" t="s">
        <v>14</v>
      </c>
      <c r="D227" t="s">
        <v>41</v>
      </c>
      <c r="E227" t="s">
        <v>21</v>
      </c>
      <c r="F227">
        <v>4</v>
      </c>
      <c r="G227">
        <v>16.27</v>
      </c>
      <c r="H227">
        <v>0</v>
      </c>
      <c r="I227">
        <v>65.08</v>
      </c>
      <c r="J227">
        <v>48.81</v>
      </c>
      <c r="K227">
        <v>16.27</v>
      </c>
      <c r="L227" t="s">
        <v>26</v>
      </c>
      <c r="M227">
        <v>0.25</v>
      </c>
    </row>
    <row r="228" spans="1:13" x14ac:dyDescent="0.3">
      <c r="A228" t="s">
        <v>265</v>
      </c>
      <c r="B228" s="2">
        <v>45861</v>
      </c>
      <c r="C228" t="s">
        <v>24</v>
      </c>
      <c r="D228" t="s">
        <v>37</v>
      </c>
      <c r="E228" t="s">
        <v>16</v>
      </c>
      <c r="F228">
        <v>3</v>
      </c>
      <c r="G228">
        <v>404.25</v>
      </c>
      <c r="H228">
        <v>0.15</v>
      </c>
      <c r="I228">
        <v>1030.8399999999999</v>
      </c>
      <c r="J228">
        <v>765.14</v>
      </c>
      <c r="K228">
        <v>265.7</v>
      </c>
      <c r="L228" t="s">
        <v>26</v>
      </c>
      <c r="M228">
        <v>0.25779999999999997</v>
      </c>
    </row>
    <row r="229" spans="1:13" x14ac:dyDescent="0.3">
      <c r="A229" t="s">
        <v>266</v>
      </c>
      <c r="B229" s="2">
        <v>45690</v>
      </c>
      <c r="C229" t="s">
        <v>14</v>
      </c>
      <c r="D229" t="s">
        <v>20</v>
      </c>
      <c r="E229" t="s">
        <v>21</v>
      </c>
      <c r="F229">
        <v>3</v>
      </c>
      <c r="G229">
        <v>81.47</v>
      </c>
      <c r="H229">
        <v>0</v>
      </c>
      <c r="I229">
        <v>244.41</v>
      </c>
      <c r="J229">
        <v>145.61000000000001</v>
      </c>
      <c r="K229">
        <v>98.8</v>
      </c>
      <c r="L229" t="s">
        <v>29</v>
      </c>
      <c r="M229">
        <v>0.4042</v>
      </c>
    </row>
    <row r="230" spans="1:13" x14ac:dyDescent="0.3">
      <c r="A230" t="s">
        <v>267</v>
      </c>
      <c r="B230" s="2">
        <v>45883</v>
      </c>
      <c r="C230" t="s">
        <v>32</v>
      </c>
      <c r="D230" t="s">
        <v>15</v>
      </c>
      <c r="E230" t="s">
        <v>16</v>
      </c>
      <c r="F230">
        <v>7</v>
      </c>
      <c r="G230">
        <v>564.83000000000004</v>
      </c>
      <c r="H230">
        <v>0</v>
      </c>
      <c r="I230">
        <v>3953.81</v>
      </c>
      <c r="J230">
        <v>2294.19</v>
      </c>
      <c r="K230">
        <v>1659.62</v>
      </c>
      <c r="L230" t="s">
        <v>44</v>
      </c>
      <c r="M230">
        <v>0.41980000000000001</v>
      </c>
    </row>
    <row r="231" spans="1:13" x14ac:dyDescent="0.3">
      <c r="A231" t="s">
        <v>268</v>
      </c>
      <c r="B231" s="2">
        <v>45942</v>
      </c>
      <c r="C231" t="s">
        <v>32</v>
      </c>
      <c r="D231" t="s">
        <v>41</v>
      </c>
      <c r="E231" t="s">
        <v>21</v>
      </c>
      <c r="F231">
        <v>1</v>
      </c>
      <c r="G231">
        <v>18.440000000000001</v>
      </c>
      <c r="H231">
        <v>0.1</v>
      </c>
      <c r="I231">
        <v>16.600000000000001</v>
      </c>
      <c r="J231">
        <v>11.73</v>
      </c>
      <c r="K231">
        <v>4.87</v>
      </c>
      <c r="L231" t="s">
        <v>58</v>
      </c>
      <c r="M231">
        <v>0.29339999999999999</v>
      </c>
    </row>
    <row r="232" spans="1:13" x14ac:dyDescent="0.3">
      <c r="A232" t="s">
        <v>269</v>
      </c>
      <c r="B232" s="2">
        <v>45684</v>
      </c>
      <c r="C232" t="s">
        <v>19</v>
      </c>
      <c r="D232" t="s">
        <v>20</v>
      </c>
      <c r="E232" t="s">
        <v>21</v>
      </c>
      <c r="F232">
        <v>4</v>
      </c>
      <c r="G232">
        <v>104.79</v>
      </c>
      <c r="H232">
        <v>0.1</v>
      </c>
      <c r="I232">
        <v>377.24</v>
      </c>
      <c r="J232">
        <v>239.63</v>
      </c>
      <c r="K232">
        <v>137.61000000000001</v>
      </c>
      <c r="L232" t="s">
        <v>65</v>
      </c>
      <c r="M232">
        <v>0.36480000000000001</v>
      </c>
    </row>
    <row r="233" spans="1:13" x14ac:dyDescent="0.3">
      <c r="A233" t="s">
        <v>270</v>
      </c>
      <c r="B233" s="2">
        <v>46014</v>
      </c>
      <c r="C233" t="s">
        <v>19</v>
      </c>
      <c r="D233" t="s">
        <v>48</v>
      </c>
      <c r="E233" t="s">
        <v>16</v>
      </c>
      <c r="F233">
        <v>6</v>
      </c>
      <c r="G233">
        <v>648.19000000000005</v>
      </c>
      <c r="H233">
        <v>0</v>
      </c>
      <c r="I233">
        <v>3889.14</v>
      </c>
      <c r="J233">
        <v>3136.47</v>
      </c>
      <c r="K233">
        <v>752.67</v>
      </c>
      <c r="L233" t="s">
        <v>46</v>
      </c>
      <c r="M233">
        <v>0.19350000000000001</v>
      </c>
    </row>
    <row r="234" spans="1:13" x14ac:dyDescent="0.3">
      <c r="A234" t="s">
        <v>271</v>
      </c>
      <c r="B234" s="2">
        <v>45715</v>
      </c>
      <c r="C234" t="s">
        <v>24</v>
      </c>
      <c r="D234" t="s">
        <v>41</v>
      </c>
      <c r="E234" t="s">
        <v>21</v>
      </c>
      <c r="F234">
        <v>6</v>
      </c>
      <c r="G234">
        <v>59.89</v>
      </c>
      <c r="H234">
        <v>0</v>
      </c>
      <c r="I234">
        <v>359.34</v>
      </c>
      <c r="J234">
        <v>235.32</v>
      </c>
      <c r="K234">
        <v>124.02</v>
      </c>
      <c r="L234" t="s">
        <v>29</v>
      </c>
      <c r="M234">
        <v>0.34510000000000002</v>
      </c>
    </row>
    <row r="235" spans="1:13" x14ac:dyDescent="0.3">
      <c r="A235" t="s">
        <v>272</v>
      </c>
      <c r="B235" s="2">
        <v>45937</v>
      </c>
      <c r="C235" t="s">
        <v>24</v>
      </c>
      <c r="D235" t="s">
        <v>25</v>
      </c>
      <c r="E235" t="s">
        <v>21</v>
      </c>
      <c r="F235">
        <v>7</v>
      </c>
      <c r="G235">
        <v>126.96</v>
      </c>
      <c r="H235">
        <v>0</v>
      </c>
      <c r="I235">
        <v>888.72</v>
      </c>
      <c r="J235">
        <v>700.62</v>
      </c>
      <c r="K235">
        <v>188.1</v>
      </c>
      <c r="L235" t="s">
        <v>58</v>
      </c>
      <c r="M235">
        <v>0.2117</v>
      </c>
    </row>
    <row r="236" spans="1:13" x14ac:dyDescent="0.3">
      <c r="A236" t="s">
        <v>273</v>
      </c>
      <c r="B236" s="2">
        <v>45802</v>
      </c>
      <c r="C236" t="s">
        <v>32</v>
      </c>
      <c r="D236" t="s">
        <v>37</v>
      </c>
      <c r="E236" t="s">
        <v>16</v>
      </c>
      <c r="F236">
        <v>7</v>
      </c>
      <c r="G236">
        <v>286.18</v>
      </c>
      <c r="H236">
        <v>0.05</v>
      </c>
      <c r="I236">
        <v>1903.1</v>
      </c>
      <c r="J236">
        <v>1176.53</v>
      </c>
      <c r="K236">
        <v>726.57</v>
      </c>
      <c r="L236" t="s">
        <v>33</v>
      </c>
      <c r="M236">
        <v>0.38179999999999997</v>
      </c>
    </row>
    <row r="237" spans="1:13" x14ac:dyDescent="0.3">
      <c r="A237" t="s">
        <v>274</v>
      </c>
      <c r="B237" s="2">
        <v>46006</v>
      </c>
      <c r="C237" t="s">
        <v>24</v>
      </c>
      <c r="D237" t="s">
        <v>28</v>
      </c>
      <c r="E237" t="s">
        <v>21</v>
      </c>
      <c r="F237">
        <v>7</v>
      </c>
      <c r="G237">
        <v>118.93</v>
      </c>
      <c r="H237">
        <v>0.05</v>
      </c>
      <c r="I237">
        <v>790.88</v>
      </c>
      <c r="J237">
        <v>462.1</v>
      </c>
      <c r="K237">
        <v>328.78</v>
      </c>
      <c r="L237" t="s">
        <v>46</v>
      </c>
      <c r="M237">
        <v>0.41570000000000001</v>
      </c>
    </row>
    <row r="238" spans="1:13" x14ac:dyDescent="0.3">
      <c r="A238" t="s">
        <v>275</v>
      </c>
      <c r="B238" s="2">
        <v>45672</v>
      </c>
      <c r="C238" t="s">
        <v>32</v>
      </c>
      <c r="D238" t="s">
        <v>41</v>
      </c>
      <c r="E238" t="s">
        <v>21</v>
      </c>
      <c r="F238">
        <v>5</v>
      </c>
      <c r="G238">
        <v>69.45</v>
      </c>
      <c r="H238">
        <v>0.15</v>
      </c>
      <c r="I238">
        <v>295.16000000000003</v>
      </c>
      <c r="J238">
        <v>184.33</v>
      </c>
      <c r="K238">
        <v>110.83</v>
      </c>
      <c r="L238" t="s">
        <v>65</v>
      </c>
      <c r="M238">
        <v>0.3755</v>
      </c>
    </row>
    <row r="239" spans="1:13" x14ac:dyDescent="0.3">
      <c r="A239" t="s">
        <v>276</v>
      </c>
      <c r="B239" s="2">
        <v>45666</v>
      </c>
      <c r="C239" t="s">
        <v>14</v>
      </c>
      <c r="D239" t="s">
        <v>25</v>
      </c>
      <c r="E239" t="s">
        <v>21</v>
      </c>
      <c r="F239">
        <v>6</v>
      </c>
      <c r="G239">
        <v>107.78</v>
      </c>
      <c r="H239">
        <v>0.05</v>
      </c>
      <c r="I239">
        <v>614.35</v>
      </c>
      <c r="J239">
        <v>392.82</v>
      </c>
      <c r="K239">
        <v>221.53</v>
      </c>
      <c r="L239" t="s">
        <v>65</v>
      </c>
      <c r="M239">
        <v>0.36059999999999998</v>
      </c>
    </row>
    <row r="240" spans="1:13" x14ac:dyDescent="0.3">
      <c r="A240" t="s">
        <v>277</v>
      </c>
      <c r="B240" s="2">
        <v>46001</v>
      </c>
      <c r="C240" t="s">
        <v>24</v>
      </c>
      <c r="D240" t="s">
        <v>72</v>
      </c>
      <c r="E240" t="s">
        <v>16</v>
      </c>
      <c r="F240">
        <v>1</v>
      </c>
      <c r="G240">
        <v>131.81</v>
      </c>
      <c r="H240">
        <v>0.05</v>
      </c>
      <c r="I240">
        <v>125.22</v>
      </c>
      <c r="J240">
        <v>82.42</v>
      </c>
      <c r="K240">
        <v>42.8</v>
      </c>
      <c r="L240" t="s">
        <v>46</v>
      </c>
      <c r="M240">
        <v>0.34179999999999999</v>
      </c>
    </row>
    <row r="241" spans="1:13" x14ac:dyDescent="0.3">
      <c r="A241" t="s">
        <v>278</v>
      </c>
      <c r="B241" s="2">
        <v>45995</v>
      </c>
      <c r="C241" t="s">
        <v>14</v>
      </c>
      <c r="D241" t="s">
        <v>20</v>
      </c>
      <c r="E241" t="s">
        <v>21</v>
      </c>
      <c r="F241">
        <v>5</v>
      </c>
      <c r="G241">
        <v>39.21</v>
      </c>
      <c r="H241">
        <v>0.05</v>
      </c>
      <c r="I241">
        <v>186.25</v>
      </c>
      <c r="J241">
        <v>138.44</v>
      </c>
      <c r="K241">
        <v>47.81</v>
      </c>
      <c r="L241" t="s">
        <v>46</v>
      </c>
      <c r="M241">
        <v>0.25669999999999998</v>
      </c>
    </row>
    <row r="242" spans="1:13" x14ac:dyDescent="0.3">
      <c r="A242" t="s">
        <v>279</v>
      </c>
      <c r="B242" s="2">
        <v>45759</v>
      </c>
      <c r="C242" t="s">
        <v>32</v>
      </c>
      <c r="D242" t="s">
        <v>15</v>
      </c>
      <c r="E242" t="s">
        <v>16</v>
      </c>
      <c r="F242">
        <v>7</v>
      </c>
      <c r="G242">
        <v>519.29</v>
      </c>
      <c r="H242">
        <v>0.05</v>
      </c>
      <c r="I242">
        <v>3453.28</v>
      </c>
      <c r="J242">
        <v>2630.34</v>
      </c>
      <c r="K242">
        <v>822.94</v>
      </c>
      <c r="L242" t="s">
        <v>17</v>
      </c>
      <c r="M242">
        <v>0.23830000000000001</v>
      </c>
    </row>
    <row r="243" spans="1:13" x14ac:dyDescent="0.3">
      <c r="A243" t="s">
        <v>280</v>
      </c>
      <c r="B243" s="2">
        <v>45703</v>
      </c>
      <c r="C243" t="s">
        <v>24</v>
      </c>
      <c r="D243" t="s">
        <v>72</v>
      </c>
      <c r="E243" t="s">
        <v>16</v>
      </c>
      <c r="F243">
        <v>3</v>
      </c>
      <c r="G243">
        <v>214.93</v>
      </c>
      <c r="H243">
        <v>0</v>
      </c>
      <c r="I243">
        <v>644.79</v>
      </c>
      <c r="J243">
        <v>411.43</v>
      </c>
      <c r="K243">
        <v>233.36</v>
      </c>
      <c r="L243" t="s">
        <v>29</v>
      </c>
      <c r="M243">
        <v>0.3619</v>
      </c>
    </row>
    <row r="244" spans="1:13" x14ac:dyDescent="0.3">
      <c r="A244" t="s">
        <v>281</v>
      </c>
      <c r="B244" s="2">
        <v>45899</v>
      </c>
      <c r="C244" t="s">
        <v>24</v>
      </c>
      <c r="D244" t="s">
        <v>15</v>
      </c>
      <c r="E244" t="s">
        <v>16</v>
      </c>
      <c r="F244">
        <v>6</v>
      </c>
      <c r="G244">
        <v>470.53</v>
      </c>
      <c r="H244">
        <v>0.1</v>
      </c>
      <c r="I244">
        <v>2540.86</v>
      </c>
      <c r="J244">
        <v>1814.98</v>
      </c>
      <c r="K244">
        <v>725.88</v>
      </c>
      <c r="L244" t="s">
        <v>44</v>
      </c>
      <c r="M244">
        <v>0.28570000000000001</v>
      </c>
    </row>
    <row r="245" spans="1:13" x14ac:dyDescent="0.3">
      <c r="A245" t="s">
        <v>282</v>
      </c>
      <c r="B245" s="2">
        <v>45734</v>
      </c>
      <c r="C245" t="s">
        <v>24</v>
      </c>
      <c r="D245" t="s">
        <v>48</v>
      </c>
      <c r="E245" t="s">
        <v>16</v>
      </c>
      <c r="F245">
        <v>2</v>
      </c>
      <c r="G245">
        <v>897.26</v>
      </c>
      <c r="H245">
        <v>0.1</v>
      </c>
      <c r="I245">
        <v>1615.07</v>
      </c>
      <c r="J245">
        <v>968.72</v>
      </c>
      <c r="K245">
        <v>646.35</v>
      </c>
      <c r="L245" t="s">
        <v>49</v>
      </c>
      <c r="M245">
        <v>0.4002</v>
      </c>
    </row>
    <row r="246" spans="1:13" x14ac:dyDescent="0.3">
      <c r="A246" t="s">
        <v>283</v>
      </c>
      <c r="B246" s="2">
        <v>45779</v>
      </c>
      <c r="C246" t="s">
        <v>14</v>
      </c>
      <c r="D246" t="s">
        <v>37</v>
      </c>
      <c r="E246" t="s">
        <v>16</v>
      </c>
      <c r="F246">
        <v>6</v>
      </c>
      <c r="G246">
        <v>239.85</v>
      </c>
      <c r="H246">
        <v>0.15</v>
      </c>
      <c r="I246">
        <v>1223.23</v>
      </c>
      <c r="J246">
        <v>768.44</v>
      </c>
      <c r="K246">
        <v>454.79</v>
      </c>
      <c r="L246" t="s">
        <v>33</v>
      </c>
      <c r="M246">
        <v>0.37180000000000002</v>
      </c>
    </row>
    <row r="247" spans="1:13" x14ac:dyDescent="0.3">
      <c r="A247" t="s">
        <v>284</v>
      </c>
      <c r="B247" s="2">
        <v>45974</v>
      </c>
      <c r="C247" t="s">
        <v>19</v>
      </c>
      <c r="D247" t="s">
        <v>15</v>
      </c>
      <c r="E247" t="s">
        <v>16</v>
      </c>
      <c r="F247">
        <v>2</v>
      </c>
      <c r="G247">
        <v>199.36</v>
      </c>
      <c r="H247">
        <v>0.05</v>
      </c>
      <c r="I247">
        <v>378.78</v>
      </c>
      <c r="J247">
        <v>306.2</v>
      </c>
      <c r="K247">
        <v>72.58</v>
      </c>
      <c r="L247" t="s">
        <v>35</v>
      </c>
      <c r="M247">
        <v>0.19159999999999999</v>
      </c>
    </row>
    <row r="248" spans="1:13" x14ac:dyDescent="0.3">
      <c r="A248" t="s">
        <v>285</v>
      </c>
      <c r="B248" s="2">
        <v>45698</v>
      </c>
      <c r="C248" t="s">
        <v>14</v>
      </c>
      <c r="D248" t="s">
        <v>20</v>
      </c>
      <c r="E248" t="s">
        <v>21</v>
      </c>
      <c r="F248">
        <v>6</v>
      </c>
      <c r="G248">
        <v>81.5</v>
      </c>
      <c r="H248">
        <v>0.05</v>
      </c>
      <c r="I248">
        <v>464.55</v>
      </c>
      <c r="J248">
        <v>337.78</v>
      </c>
      <c r="K248">
        <v>126.77</v>
      </c>
      <c r="L248" t="s">
        <v>29</v>
      </c>
      <c r="M248">
        <v>0.27289999999999998</v>
      </c>
    </row>
    <row r="249" spans="1:13" x14ac:dyDescent="0.3">
      <c r="A249" t="s">
        <v>286</v>
      </c>
      <c r="B249" s="2">
        <v>45664</v>
      </c>
      <c r="C249" t="s">
        <v>19</v>
      </c>
      <c r="D249" t="s">
        <v>41</v>
      </c>
      <c r="E249" t="s">
        <v>21</v>
      </c>
      <c r="F249">
        <v>2</v>
      </c>
      <c r="G249">
        <v>51.39</v>
      </c>
      <c r="H249">
        <v>0.1</v>
      </c>
      <c r="I249">
        <v>92.5</v>
      </c>
      <c r="J249">
        <v>67.239999999999995</v>
      </c>
      <c r="K249">
        <v>25.26</v>
      </c>
      <c r="L249" t="s">
        <v>65</v>
      </c>
      <c r="M249">
        <v>0.27310000000000001</v>
      </c>
    </row>
    <row r="250" spans="1:13" x14ac:dyDescent="0.3">
      <c r="A250" t="s">
        <v>287</v>
      </c>
      <c r="B250" s="2">
        <v>45784</v>
      </c>
      <c r="C250" t="s">
        <v>32</v>
      </c>
      <c r="D250" t="s">
        <v>41</v>
      </c>
      <c r="E250" t="s">
        <v>21</v>
      </c>
      <c r="F250">
        <v>4</v>
      </c>
      <c r="G250">
        <v>49.64</v>
      </c>
      <c r="H250">
        <v>0.1</v>
      </c>
      <c r="I250">
        <v>178.7</v>
      </c>
      <c r="J250">
        <v>124.27</v>
      </c>
      <c r="K250">
        <v>54.43</v>
      </c>
      <c r="L250" t="s">
        <v>33</v>
      </c>
      <c r="M250">
        <v>0.30459999999999998</v>
      </c>
    </row>
    <row r="251" spans="1:13" x14ac:dyDescent="0.3">
      <c r="A251" t="s">
        <v>288</v>
      </c>
      <c r="B251" s="2">
        <v>45669</v>
      </c>
      <c r="C251" t="s">
        <v>32</v>
      </c>
      <c r="D251" t="s">
        <v>41</v>
      </c>
      <c r="E251" t="s">
        <v>21</v>
      </c>
      <c r="F251">
        <v>2</v>
      </c>
      <c r="G251">
        <v>39.630000000000003</v>
      </c>
      <c r="H251">
        <v>0.1</v>
      </c>
      <c r="I251">
        <v>71.33</v>
      </c>
      <c r="J251">
        <v>51.53</v>
      </c>
      <c r="K251">
        <v>19.8</v>
      </c>
      <c r="L251" t="s">
        <v>65</v>
      </c>
      <c r="M251">
        <v>0.27760000000000001</v>
      </c>
    </row>
    <row r="252" spans="1:13" x14ac:dyDescent="0.3">
      <c r="A252" t="s">
        <v>289</v>
      </c>
      <c r="B252" s="2">
        <v>45830</v>
      </c>
      <c r="C252" t="s">
        <v>24</v>
      </c>
      <c r="D252" t="s">
        <v>48</v>
      </c>
      <c r="E252" t="s">
        <v>16</v>
      </c>
      <c r="F252">
        <v>5</v>
      </c>
      <c r="G252">
        <v>950.23</v>
      </c>
      <c r="H252">
        <v>0</v>
      </c>
      <c r="I252">
        <v>4751.1499999999996</v>
      </c>
      <c r="J252">
        <v>3291.8</v>
      </c>
      <c r="K252">
        <v>1459.35</v>
      </c>
      <c r="L252" t="s">
        <v>22</v>
      </c>
      <c r="M252">
        <v>0.30719999999999997</v>
      </c>
    </row>
    <row r="253" spans="1:13" x14ac:dyDescent="0.3">
      <c r="A253" t="s">
        <v>290</v>
      </c>
      <c r="B253" s="2">
        <v>45868</v>
      </c>
      <c r="C253" t="s">
        <v>14</v>
      </c>
      <c r="D253" t="s">
        <v>28</v>
      </c>
      <c r="E253" t="s">
        <v>21</v>
      </c>
      <c r="F253">
        <v>7</v>
      </c>
      <c r="G253">
        <v>115.23</v>
      </c>
      <c r="H253">
        <v>0</v>
      </c>
      <c r="I253">
        <v>806.61</v>
      </c>
      <c r="J253">
        <v>499.13</v>
      </c>
      <c r="K253">
        <v>307.48</v>
      </c>
      <c r="L253" t="s">
        <v>26</v>
      </c>
      <c r="M253">
        <v>0.38119999999999998</v>
      </c>
    </row>
    <row r="254" spans="1:13" x14ac:dyDescent="0.3">
      <c r="A254" t="s">
        <v>291</v>
      </c>
      <c r="B254" s="2">
        <v>45750</v>
      </c>
      <c r="C254" t="s">
        <v>14</v>
      </c>
      <c r="D254" t="s">
        <v>28</v>
      </c>
      <c r="E254" t="s">
        <v>21</v>
      </c>
      <c r="F254">
        <v>1</v>
      </c>
      <c r="G254">
        <v>126.26</v>
      </c>
      <c r="H254">
        <v>0</v>
      </c>
      <c r="I254">
        <v>126.26</v>
      </c>
      <c r="J254">
        <v>85.45</v>
      </c>
      <c r="K254">
        <v>40.81</v>
      </c>
      <c r="L254" t="s">
        <v>17</v>
      </c>
      <c r="M254">
        <v>0.32319999999999999</v>
      </c>
    </row>
    <row r="255" spans="1:13" x14ac:dyDescent="0.3">
      <c r="A255" t="s">
        <v>292</v>
      </c>
      <c r="B255" s="2">
        <v>45816</v>
      </c>
      <c r="C255" t="s">
        <v>14</v>
      </c>
      <c r="D255" t="s">
        <v>15</v>
      </c>
      <c r="E255" t="s">
        <v>16</v>
      </c>
      <c r="F255">
        <v>7</v>
      </c>
      <c r="G255">
        <v>301.11</v>
      </c>
      <c r="H255">
        <v>0.05</v>
      </c>
      <c r="I255">
        <v>2002.38</v>
      </c>
      <c r="J255">
        <v>1578.65</v>
      </c>
      <c r="K255">
        <v>423.73</v>
      </c>
      <c r="L255" t="s">
        <v>22</v>
      </c>
      <c r="M255">
        <v>0.21160000000000001</v>
      </c>
    </row>
    <row r="256" spans="1:13" x14ac:dyDescent="0.3">
      <c r="A256" t="s">
        <v>293</v>
      </c>
      <c r="B256" s="2">
        <v>45809</v>
      </c>
      <c r="C256" t="s">
        <v>14</v>
      </c>
      <c r="D256" t="s">
        <v>28</v>
      </c>
      <c r="E256" t="s">
        <v>21</v>
      </c>
      <c r="F256">
        <v>4</v>
      </c>
      <c r="G256">
        <v>151.32</v>
      </c>
      <c r="H256">
        <v>0.1</v>
      </c>
      <c r="I256">
        <v>544.75</v>
      </c>
      <c r="J256">
        <v>416.33</v>
      </c>
      <c r="K256">
        <v>128.41999999999999</v>
      </c>
      <c r="L256" t="s">
        <v>22</v>
      </c>
      <c r="M256">
        <v>0.23569999999999999</v>
      </c>
    </row>
    <row r="257" spans="1:13" x14ac:dyDescent="0.3">
      <c r="A257" t="s">
        <v>294</v>
      </c>
      <c r="B257" s="2">
        <v>45885</v>
      </c>
      <c r="C257" t="s">
        <v>14</v>
      </c>
      <c r="D257" t="s">
        <v>48</v>
      </c>
      <c r="E257" t="s">
        <v>16</v>
      </c>
      <c r="F257">
        <v>3</v>
      </c>
      <c r="G257">
        <v>926.14</v>
      </c>
      <c r="H257">
        <v>0</v>
      </c>
      <c r="I257">
        <v>2778.42</v>
      </c>
      <c r="J257">
        <v>2095.1</v>
      </c>
      <c r="K257">
        <v>683.32</v>
      </c>
      <c r="L257" t="s">
        <v>44</v>
      </c>
      <c r="M257">
        <v>0.24590000000000001</v>
      </c>
    </row>
    <row r="258" spans="1:13" x14ac:dyDescent="0.3">
      <c r="A258" t="s">
        <v>295</v>
      </c>
      <c r="B258" s="2">
        <v>45843</v>
      </c>
      <c r="C258" t="s">
        <v>14</v>
      </c>
      <c r="D258" t="s">
        <v>15</v>
      </c>
      <c r="E258" t="s">
        <v>16</v>
      </c>
      <c r="F258">
        <v>2</v>
      </c>
      <c r="G258">
        <v>552.69000000000005</v>
      </c>
      <c r="H258">
        <v>0.05</v>
      </c>
      <c r="I258">
        <v>1050.1099999999999</v>
      </c>
      <c r="J258">
        <v>859.11</v>
      </c>
      <c r="K258">
        <v>191</v>
      </c>
      <c r="L258" t="s">
        <v>26</v>
      </c>
      <c r="M258">
        <v>0.18190000000000001</v>
      </c>
    </row>
    <row r="259" spans="1:13" x14ac:dyDescent="0.3">
      <c r="A259" t="s">
        <v>296</v>
      </c>
      <c r="B259" s="2">
        <v>45882</v>
      </c>
      <c r="C259" t="s">
        <v>19</v>
      </c>
      <c r="D259" t="s">
        <v>28</v>
      </c>
      <c r="E259" t="s">
        <v>21</v>
      </c>
      <c r="F259">
        <v>4</v>
      </c>
      <c r="G259">
        <v>106.01</v>
      </c>
      <c r="H259">
        <v>0.05</v>
      </c>
      <c r="I259">
        <v>402.84</v>
      </c>
      <c r="J259">
        <v>314.47000000000003</v>
      </c>
      <c r="K259">
        <v>88.37</v>
      </c>
      <c r="L259" t="s">
        <v>44</v>
      </c>
      <c r="M259">
        <v>0.21940000000000001</v>
      </c>
    </row>
    <row r="260" spans="1:13" x14ac:dyDescent="0.3">
      <c r="A260" t="s">
        <v>297</v>
      </c>
      <c r="B260" s="2">
        <v>45991</v>
      </c>
      <c r="C260" t="s">
        <v>14</v>
      </c>
      <c r="D260" t="s">
        <v>37</v>
      </c>
      <c r="E260" t="s">
        <v>16</v>
      </c>
      <c r="F260">
        <v>4</v>
      </c>
      <c r="G260">
        <v>421.8</v>
      </c>
      <c r="H260">
        <v>0</v>
      </c>
      <c r="I260">
        <v>1687.2</v>
      </c>
      <c r="J260">
        <v>1074.76</v>
      </c>
      <c r="K260">
        <v>612.44000000000005</v>
      </c>
      <c r="L260" t="s">
        <v>35</v>
      </c>
      <c r="M260">
        <v>0.36299999999999999</v>
      </c>
    </row>
    <row r="261" spans="1:13" x14ac:dyDescent="0.3">
      <c r="A261" t="s">
        <v>298</v>
      </c>
      <c r="B261" s="2">
        <v>45973</v>
      </c>
      <c r="C261" t="s">
        <v>32</v>
      </c>
      <c r="D261" t="s">
        <v>15</v>
      </c>
      <c r="E261" t="s">
        <v>16</v>
      </c>
      <c r="F261">
        <v>5</v>
      </c>
      <c r="G261">
        <v>581.55999999999995</v>
      </c>
      <c r="H261">
        <v>0.05</v>
      </c>
      <c r="I261">
        <v>2762.41</v>
      </c>
      <c r="J261">
        <v>1766.11</v>
      </c>
      <c r="K261">
        <v>996.3</v>
      </c>
      <c r="L261" t="s">
        <v>35</v>
      </c>
      <c r="M261">
        <v>0.36070000000000002</v>
      </c>
    </row>
    <row r="262" spans="1:13" x14ac:dyDescent="0.3">
      <c r="A262" t="s">
        <v>299</v>
      </c>
      <c r="B262" s="2">
        <v>45983</v>
      </c>
      <c r="C262" t="s">
        <v>32</v>
      </c>
      <c r="D262" t="s">
        <v>15</v>
      </c>
      <c r="E262" t="s">
        <v>16</v>
      </c>
      <c r="F262">
        <v>6</v>
      </c>
      <c r="G262">
        <v>421.96</v>
      </c>
      <c r="H262">
        <v>0</v>
      </c>
      <c r="I262">
        <v>2531.7600000000002</v>
      </c>
      <c r="J262">
        <v>1828.71</v>
      </c>
      <c r="K262">
        <v>703.05</v>
      </c>
      <c r="L262" t="s">
        <v>35</v>
      </c>
      <c r="M262">
        <v>0.2777</v>
      </c>
    </row>
    <row r="263" spans="1:13" x14ac:dyDescent="0.3">
      <c r="A263" t="s">
        <v>300</v>
      </c>
      <c r="B263" s="2">
        <v>45821</v>
      </c>
      <c r="C263" t="s">
        <v>32</v>
      </c>
      <c r="D263" t="s">
        <v>20</v>
      </c>
      <c r="E263" t="s">
        <v>21</v>
      </c>
      <c r="F263">
        <v>1</v>
      </c>
      <c r="G263">
        <v>117.09</v>
      </c>
      <c r="H263">
        <v>0</v>
      </c>
      <c r="I263">
        <v>117.09</v>
      </c>
      <c r="J263">
        <v>86.37</v>
      </c>
      <c r="K263">
        <v>30.72</v>
      </c>
      <c r="L263" t="s">
        <v>22</v>
      </c>
      <c r="M263">
        <v>0.26240000000000002</v>
      </c>
    </row>
    <row r="264" spans="1:13" x14ac:dyDescent="0.3">
      <c r="A264" t="s">
        <v>301</v>
      </c>
      <c r="B264" s="2">
        <v>45737</v>
      </c>
      <c r="C264" t="s">
        <v>14</v>
      </c>
      <c r="D264" t="s">
        <v>15</v>
      </c>
      <c r="E264" t="s">
        <v>16</v>
      </c>
      <c r="F264">
        <v>7</v>
      </c>
      <c r="G264">
        <v>290.3</v>
      </c>
      <c r="H264">
        <v>0.1</v>
      </c>
      <c r="I264">
        <v>1828.89</v>
      </c>
      <c r="J264">
        <v>1254.78</v>
      </c>
      <c r="K264">
        <v>574.11</v>
      </c>
      <c r="L264" t="s">
        <v>49</v>
      </c>
      <c r="M264">
        <v>0.31390000000000001</v>
      </c>
    </row>
    <row r="265" spans="1:13" x14ac:dyDescent="0.3">
      <c r="A265" t="s">
        <v>302</v>
      </c>
      <c r="B265" s="2">
        <v>45921</v>
      </c>
      <c r="C265" t="s">
        <v>19</v>
      </c>
      <c r="D265" t="s">
        <v>28</v>
      </c>
      <c r="E265" t="s">
        <v>21</v>
      </c>
      <c r="F265">
        <v>2</v>
      </c>
      <c r="G265">
        <v>158.84</v>
      </c>
      <c r="H265">
        <v>0</v>
      </c>
      <c r="I265">
        <v>317.68</v>
      </c>
      <c r="J265">
        <v>218.52</v>
      </c>
      <c r="K265">
        <v>99.16</v>
      </c>
      <c r="L265" t="s">
        <v>38</v>
      </c>
      <c r="M265">
        <v>0.31209999999999999</v>
      </c>
    </row>
    <row r="266" spans="1:13" x14ac:dyDescent="0.3">
      <c r="A266" t="s">
        <v>303</v>
      </c>
      <c r="B266" s="2">
        <v>45764</v>
      </c>
      <c r="C266" t="s">
        <v>32</v>
      </c>
      <c r="D266" t="s">
        <v>41</v>
      </c>
      <c r="E266" t="s">
        <v>21</v>
      </c>
      <c r="F266">
        <v>1</v>
      </c>
      <c r="G266">
        <v>27.91</v>
      </c>
      <c r="H266">
        <v>0</v>
      </c>
      <c r="I266">
        <v>27.91</v>
      </c>
      <c r="J266">
        <v>18.73</v>
      </c>
      <c r="K266">
        <v>9.18</v>
      </c>
      <c r="L266" t="s">
        <v>17</v>
      </c>
      <c r="M266">
        <v>0.32890000000000003</v>
      </c>
    </row>
    <row r="267" spans="1:13" x14ac:dyDescent="0.3">
      <c r="A267" t="s">
        <v>304</v>
      </c>
      <c r="B267" s="2">
        <v>45969</v>
      </c>
      <c r="C267" t="s">
        <v>24</v>
      </c>
      <c r="D267" t="s">
        <v>15</v>
      </c>
      <c r="E267" t="s">
        <v>16</v>
      </c>
      <c r="F267">
        <v>5</v>
      </c>
      <c r="G267">
        <v>430.75</v>
      </c>
      <c r="H267">
        <v>0.1</v>
      </c>
      <c r="I267">
        <v>1938.38</v>
      </c>
      <c r="J267">
        <v>1452.41</v>
      </c>
      <c r="K267">
        <v>485.97</v>
      </c>
      <c r="L267" t="s">
        <v>35</v>
      </c>
      <c r="M267">
        <v>0.25069999999999998</v>
      </c>
    </row>
    <row r="268" spans="1:13" x14ac:dyDescent="0.3">
      <c r="A268" t="s">
        <v>305</v>
      </c>
      <c r="B268" s="2">
        <v>45991</v>
      </c>
      <c r="C268" t="s">
        <v>14</v>
      </c>
      <c r="D268" t="s">
        <v>15</v>
      </c>
      <c r="E268" t="s">
        <v>16</v>
      </c>
      <c r="F268">
        <v>7</v>
      </c>
      <c r="G268">
        <v>442.33</v>
      </c>
      <c r="H268">
        <v>0.05</v>
      </c>
      <c r="I268">
        <v>2941.49</v>
      </c>
      <c r="J268">
        <v>1730.2</v>
      </c>
      <c r="K268">
        <v>1211.29</v>
      </c>
      <c r="L268" t="s">
        <v>35</v>
      </c>
      <c r="M268">
        <v>0.4118</v>
      </c>
    </row>
    <row r="269" spans="1:13" x14ac:dyDescent="0.3">
      <c r="A269" t="s">
        <v>306</v>
      </c>
      <c r="B269" s="2">
        <v>45692</v>
      </c>
      <c r="C269" t="s">
        <v>14</v>
      </c>
      <c r="D269" t="s">
        <v>48</v>
      </c>
      <c r="E269" t="s">
        <v>16</v>
      </c>
      <c r="F269">
        <v>7</v>
      </c>
      <c r="G269">
        <v>700.24</v>
      </c>
      <c r="H269">
        <v>0</v>
      </c>
      <c r="I269">
        <v>4901.68</v>
      </c>
      <c r="J269">
        <v>3595.88</v>
      </c>
      <c r="K269">
        <v>1305.8</v>
      </c>
      <c r="L269" t="s">
        <v>29</v>
      </c>
      <c r="M269">
        <v>0.26640000000000003</v>
      </c>
    </row>
    <row r="270" spans="1:13" x14ac:dyDescent="0.3">
      <c r="A270" t="s">
        <v>307</v>
      </c>
      <c r="B270" s="2">
        <v>45669</v>
      </c>
      <c r="C270" t="s">
        <v>14</v>
      </c>
      <c r="D270" t="s">
        <v>28</v>
      </c>
      <c r="E270" t="s">
        <v>21</v>
      </c>
      <c r="F270">
        <v>5</v>
      </c>
      <c r="G270">
        <v>51.38</v>
      </c>
      <c r="H270">
        <v>0</v>
      </c>
      <c r="I270">
        <v>256.89999999999998</v>
      </c>
      <c r="J270">
        <v>185.05</v>
      </c>
      <c r="K270">
        <v>71.849999999999994</v>
      </c>
      <c r="L270" t="s">
        <v>65</v>
      </c>
      <c r="M270">
        <v>0.2797</v>
      </c>
    </row>
    <row r="271" spans="1:13" x14ac:dyDescent="0.3">
      <c r="A271" t="s">
        <v>308</v>
      </c>
      <c r="B271" s="2">
        <v>45874</v>
      </c>
      <c r="C271" t="s">
        <v>14</v>
      </c>
      <c r="D271" t="s">
        <v>41</v>
      </c>
      <c r="E271" t="s">
        <v>21</v>
      </c>
      <c r="F271">
        <v>5</v>
      </c>
      <c r="G271">
        <v>42.23</v>
      </c>
      <c r="H271">
        <v>0.05</v>
      </c>
      <c r="I271">
        <v>200.59</v>
      </c>
      <c r="J271">
        <v>117.18</v>
      </c>
      <c r="K271">
        <v>83.41</v>
      </c>
      <c r="L271" t="s">
        <v>44</v>
      </c>
      <c r="M271">
        <v>0.4158</v>
      </c>
    </row>
    <row r="272" spans="1:13" x14ac:dyDescent="0.3">
      <c r="A272" t="s">
        <v>309</v>
      </c>
      <c r="B272" s="2">
        <v>45951</v>
      </c>
      <c r="C272" t="s">
        <v>24</v>
      </c>
      <c r="D272" t="s">
        <v>28</v>
      </c>
      <c r="E272" t="s">
        <v>21</v>
      </c>
      <c r="F272">
        <v>1</v>
      </c>
      <c r="G272">
        <v>142.32</v>
      </c>
      <c r="H272">
        <v>0</v>
      </c>
      <c r="I272">
        <v>142.32</v>
      </c>
      <c r="J272">
        <v>100.37</v>
      </c>
      <c r="K272">
        <v>41.95</v>
      </c>
      <c r="L272" t="s">
        <v>58</v>
      </c>
      <c r="M272">
        <v>0.29480000000000001</v>
      </c>
    </row>
    <row r="273" spans="1:13" x14ac:dyDescent="0.3">
      <c r="A273" t="s">
        <v>310</v>
      </c>
      <c r="B273" s="2">
        <v>45665</v>
      </c>
      <c r="C273" t="s">
        <v>14</v>
      </c>
      <c r="D273" t="s">
        <v>15</v>
      </c>
      <c r="E273" t="s">
        <v>16</v>
      </c>
      <c r="F273">
        <v>6</v>
      </c>
      <c r="G273">
        <v>324.73</v>
      </c>
      <c r="H273">
        <v>0.1</v>
      </c>
      <c r="I273">
        <v>1753.54</v>
      </c>
      <c r="J273">
        <v>1102</v>
      </c>
      <c r="K273">
        <v>651.54</v>
      </c>
      <c r="L273" t="s">
        <v>65</v>
      </c>
      <c r="M273">
        <v>0.37159999999999999</v>
      </c>
    </row>
    <row r="274" spans="1:13" x14ac:dyDescent="0.3">
      <c r="A274" t="s">
        <v>311</v>
      </c>
      <c r="B274" s="2">
        <v>45743</v>
      </c>
      <c r="C274" t="s">
        <v>19</v>
      </c>
      <c r="D274" t="s">
        <v>28</v>
      </c>
      <c r="E274" t="s">
        <v>21</v>
      </c>
      <c r="F274">
        <v>1</v>
      </c>
      <c r="G274">
        <v>170.2</v>
      </c>
      <c r="H274">
        <v>0</v>
      </c>
      <c r="I274">
        <v>170.2</v>
      </c>
      <c r="J274">
        <v>108.3</v>
      </c>
      <c r="K274">
        <v>61.9</v>
      </c>
      <c r="L274" t="s">
        <v>49</v>
      </c>
      <c r="M274">
        <v>0.36370000000000002</v>
      </c>
    </row>
    <row r="275" spans="1:13" x14ac:dyDescent="0.3">
      <c r="A275" t="s">
        <v>312</v>
      </c>
      <c r="B275" s="2">
        <v>45771</v>
      </c>
      <c r="C275" t="s">
        <v>14</v>
      </c>
      <c r="D275" t="s">
        <v>37</v>
      </c>
      <c r="E275" t="s">
        <v>16</v>
      </c>
      <c r="F275">
        <v>1</v>
      </c>
      <c r="G275">
        <v>399.82</v>
      </c>
      <c r="H275">
        <v>0.15</v>
      </c>
      <c r="I275">
        <v>339.85</v>
      </c>
      <c r="J275">
        <v>252.84</v>
      </c>
      <c r="K275">
        <v>87.01</v>
      </c>
      <c r="L275" t="s">
        <v>17</v>
      </c>
      <c r="M275">
        <v>0.25600000000000001</v>
      </c>
    </row>
    <row r="276" spans="1:13" x14ac:dyDescent="0.3">
      <c r="A276" t="s">
        <v>313</v>
      </c>
      <c r="B276" s="2">
        <v>45985</v>
      </c>
      <c r="C276" t="s">
        <v>32</v>
      </c>
      <c r="D276" t="s">
        <v>48</v>
      </c>
      <c r="E276" t="s">
        <v>16</v>
      </c>
      <c r="F276">
        <v>2</v>
      </c>
      <c r="G276">
        <v>1114.79</v>
      </c>
      <c r="H276">
        <v>0.05</v>
      </c>
      <c r="I276">
        <v>2118.1</v>
      </c>
      <c r="J276">
        <v>1243.95</v>
      </c>
      <c r="K276">
        <v>874.15</v>
      </c>
      <c r="L276" t="s">
        <v>35</v>
      </c>
      <c r="M276">
        <v>0.41270000000000001</v>
      </c>
    </row>
    <row r="277" spans="1:13" x14ac:dyDescent="0.3">
      <c r="A277" t="s">
        <v>314</v>
      </c>
      <c r="B277" s="2">
        <v>45710</v>
      </c>
      <c r="C277" t="s">
        <v>24</v>
      </c>
      <c r="D277" t="s">
        <v>25</v>
      </c>
      <c r="E277" t="s">
        <v>21</v>
      </c>
      <c r="F277">
        <v>4</v>
      </c>
      <c r="G277">
        <v>117.95</v>
      </c>
      <c r="H277">
        <v>0</v>
      </c>
      <c r="I277">
        <v>471.8</v>
      </c>
      <c r="J277">
        <v>348.25</v>
      </c>
      <c r="K277">
        <v>123.55</v>
      </c>
      <c r="L277" t="s">
        <v>29</v>
      </c>
      <c r="M277">
        <v>0.26190000000000002</v>
      </c>
    </row>
    <row r="278" spans="1:13" x14ac:dyDescent="0.3">
      <c r="A278" t="s">
        <v>315</v>
      </c>
      <c r="B278" s="2">
        <v>45720</v>
      </c>
      <c r="C278" t="s">
        <v>32</v>
      </c>
      <c r="D278" t="s">
        <v>28</v>
      </c>
      <c r="E278" t="s">
        <v>21</v>
      </c>
      <c r="F278">
        <v>1</v>
      </c>
      <c r="G278">
        <v>54.72</v>
      </c>
      <c r="H278">
        <v>0.05</v>
      </c>
      <c r="I278">
        <v>51.98</v>
      </c>
      <c r="J278">
        <v>42.62</v>
      </c>
      <c r="K278">
        <v>9.36</v>
      </c>
      <c r="L278" t="s">
        <v>49</v>
      </c>
      <c r="M278">
        <v>0.18010000000000001</v>
      </c>
    </row>
    <row r="279" spans="1:13" x14ac:dyDescent="0.3">
      <c r="A279" t="s">
        <v>316</v>
      </c>
      <c r="B279" s="2">
        <v>45816</v>
      </c>
      <c r="C279" t="s">
        <v>32</v>
      </c>
      <c r="D279" t="s">
        <v>48</v>
      </c>
      <c r="E279" t="s">
        <v>16</v>
      </c>
      <c r="F279">
        <v>1</v>
      </c>
      <c r="G279">
        <v>1195.67</v>
      </c>
      <c r="H279">
        <v>0.1</v>
      </c>
      <c r="I279">
        <v>1076.0999999999999</v>
      </c>
      <c r="J279">
        <v>647.51</v>
      </c>
      <c r="K279">
        <v>428.59</v>
      </c>
      <c r="L279" t="s">
        <v>22</v>
      </c>
      <c r="M279">
        <v>0.39829999999999999</v>
      </c>
    </row>
    <row r="280" spans="1:13" x14ac:dyDescent="0.3">
      <c r="A280" t="s">
        <v>317</v>
      </c>
      <c r="B280" s="2">
        <v>45676</v>
      </c>
      <c r="C280" t="s">
        <v>14</v>
      </c>
      <c r="D280" t="s">
        <v>20</v>
      </c>
      <c r="E280" t="s">
        <v>21</v>
      </c>
      <c r="F280">
        <v>4</v>
      </c>
      <c r="G280">
        <v>86.8</v>
      </c>
      <c r="H280">
        <v>0.1</v>
      </c>
      <c r="I280">
        <v>312.48</v>
      </c>
      <c r="J280">
        <v>250.66</v>
      </c>
      <c r="K280">
        <v>61.82</v>
      </c>
      <c r="L280" t="s">
        <v>65</v>
      </c>
      <c r="M280">
        <v>0.1978</v>
      </c>
    </row>
    <row r="281" spans="1:13" x14ac:dyDescent="0.3">
      <c r="A281" t="s">
        <v>318</v>
      </c>
      <c r="B281" s="2">
        <v>45786</v>
      </c>
      <c r="C281" t="s">
        <v>24</v>
      </c>
      <c r="D281" t="s">
        <v>37</v>
      </c>
      <c r="E281" t="s">
        <v>16</v>
      </c>
      <c r="F281">
        <v>2</v>
      </c>
      <c r="G281">
        <v>412.15</v>
      </c>
      <c r="H281">
        <v>0</v>
      </c>
      <c r="I281">
        <v>824.3</v>
      </c>
      <c r="J281">
        <v>649.99</v>
      </c>
      <c r="K281">
        <v>174.31</v>
      </c>
      <c r="L281" t="s">
        <v>33</v>
      </c>
      <c r="M281">
        <v>0.21149999999999999</v>
      </c>
    </row>
    <row r="282" spans="1:13" x14ac:dyDescent="0.3">
      <c r="A282" t="s">
        <v>319</v>
      </c>
      <c r="B282" s="2">
        <v>45856</v>
      </c>
      <c r="C282" t="s">
        <v>19</v>
      </c>
      <c r="D282" t="s">
        <v>25</v>
      </c>
      <c r="E282" t="s">
        <v>21</v>
      </c>
      <c r="F282">
        <v>6</v>
      </c>
      <c r="G282">
        <v>114.38</v>
      </c>
      <c r="H282">
        <v>0</v>
      </c>
      <c r="I282">
        <v>686.28</v>
      </c>
      <c r="J282">
        <v>501.84</v>
      </c>
      <c r="K282">
        <v>184.44</v>
      </c>
      <c r="L282" t="s">
        <v>26</v>
      </c>
      <c r="M282">
        <v>0.26879999999999998</v>
      </c>
    </row>
    <row r="283" spans="1:13" x14ac:dyDescent="0.3">
      <c r="A283" t="s">
        <v>320</v>
      </c>
      <c r="B283" s="2">
        <v>45948</v>
      </c>
      <c r="C283" t="s">
        <v>24</v>
      </c>
      <c r="D283" t="s">
        <v>28</v>
      </c>
      <c r="E283" t="s">
        <v>21</v>
      </c>
      <c r="F283">
        <v>3</v>
      </c>
      <c r="G283">
        <v>106.88</v>
      </c>
      <c r="H283">
        <v>0</v>
      </c>
      <c r="I283">
        <v>320.64</v>
      </c>
      <c r="J283">
        <v>204.25</v>
      </c>
      <c r="K283">
        <v>116.39</v>
      </c>
      <c r="L283" t="s">
        <v>58</v>
      </c>
      <c r="M283">
        <v>0.36299999999999999</v>
      </c>
    </row>
    <row r="284" spans="1:13" x14ac:dyDescent="0.3">
      <c r="A284" t="s">
        <v>321</v>
      </c>
      <c r="B284" s="2">
        <v>45922</v>
      </c>
      <c r="C284" t="s">
        <v>19</v>
      </c>
      <c r="D284" t="s">
        <v>25</v>
      </c>
      <c r="E284" t="s">
        <v>21</v>
      </c>
      <c r="F284">
        <v>2</v>
      </c>
      <c r="G284">
        <v>106.32</v>
      </c>
      <c r="H284">
        <v>0</v>
      </c>
      <c r="I284">
        <v>212.64</v>
      </c>
      <c r="J284">
        <v>156.12</v>
      </c>
      <c r="K284">
        <v>56.52</v>
      </c>
      <c r="L284" t="s">
        <v>38</v>
      </c>
      <c r="M284">
        <v>0.26579999999999998</v>
      </c>
    </row>
    <row r="285" spans="1:13" x14ac:dyDescent="0.3">
      <c r="A285" t="s">
        <v>322</v>
      </c>
      <c r="B285" s="2">
        <v>45878</v>
      </c>
      <c r="C285" t="s">
        <v>14</v>
      </c>
      <c r="D285" t="s">
        <v>28</v>
      </c>
      <c r="E285" t="s">
        <v>21</v>
      </c>
      <c r="F285">
        <v>2</v>
      </c>
      <c r="G285">
        <v>211.02</v>
      </c>
      <c r="H285">
        <v>0.1</v>
      </c>
      <c r="I285">
        <v>379.84</v>
      </c>
      <c r="J285">
        <v>303.64999999999998</v>
      </c>
      <c r="K285">
        <v>76.19</v>
      </c>
      <c r="L285" t="s">
        <v>44</v>
      </c>
      <c r="M285">
        <v>0.2006</v>
      </c>
    </row>
    <row r="286" spans="1:13" x14ac:dyDescent="0.3">
      <c r="A286" t="s">
        <v>323</v>
      </c>
      <c r="B286" s="2">
        <v>45885</v>
      </c>
      <c r="C286" t="s">
        <v>19</v>
      </c>
      <c r="D286" t="s">
        <v>48</v>
      </c>
      <c r="E286" t="s">
        <v>16</v>
      </c>
      <c r="F286">
        <v>4</v>
      </c>
      <c r="G286">
        <v>646.84</v>
      </c>
      <c r="H286">
        <v>0.05</v>
      </c>
      <c r="I286">
        <v>2457.9899999999998</v>
      </c>
      <c r="J286">
        <v>1570.8</v>
      </c>
      <c r="K286">
        <v>887.19</v>
      </c>
      <c r="L286" t="s">
        <v>44</v>
      </c>
      <c r="M286">
        <v>0.3609</v>
      </c>
    </row>
    <row r="287" spans="1:13" x14ac:dyDescent="0.3">
      <c r="A287" t="s">
        <v>324</v>
      </c>
      <c r="B287" s="2">
        <v>45678</v>
      </c>
      <c r="C287" t="s">
        <v>19</v>
      </c>
      <c r="D287" t="s">
        <v>20</v>
      </c>
      <c r="E287" t="s">
        <v>21</v>
      </c>
      <c r="F287">
        <v>7</v>
      </c>
      <c r="G287">
        <v>102.23</v>
      </c>
      <c r="H287">
        <v>0.1</v>
      </c>
      <c r="I287">
        <v>644.04999999999995</v>
      </c>
      <c r="J287">
        <v>521.25</v>
      </c>
      <c r="K287">
        <v>122.8</v>
      </c>
      <c r="L287" t="s">
        <v>65</v>
      </c>
      <c r="M287">
        <v>0.19070000000000001</v>
      </c>
    </row>
    <row r="288" spans="1:13" x14ac:dyDescent="0.3">
      <c r="A288" t="s">
        <v>325</v>
      </c>
      <c r="B288" s="2">
        <v>45949</v>
      </c>
      <c r="C288" t="s">
        <v>19</v>
      </c>
      <c r="D288" t="s">
        <v>20</v>
      </c>
      <c r="E288" t="s">
        <v>21</v>
      </c>
      <c r="F288">
        <v>7</v>
      </c>
      <c r="G288">
        <v>110.19</v>
      </c>
      <c r="H288">
        <v>0</v>
      </c>
      <c r="I288">
        <v>771.33</v>
      </c>
      <c r="J288">
        <v>624.1</v>
      </c>
      <c r="K288">
        <v>147.22999999999999</v>
      </c>
      <c r="L288" t="s">
        <v>58</v>
      </c>
      <c r="M288">
        <v>0.19089999999999999</v>
      </c>
    </row>
    <row r="289" spans="1:13" x14ac:dyDescent="0.3">
      <c r="A289" t="s">
        <v>326</v>
      </c>
      <c r="B289" s="2">
        <v>45991</v>
      </c>
      <c r="C289" t="s">
        <v>32</v>
      </c>
      <c r="D289" t="s">
        <v>20</v>
      </c>
      <c r="E289" t="s">
        <v>21</v>
      </c>
      <c r="F289">
        <v>7</v>
      </c>
      <c r="G289">
        <v>43.73</v>
      </c>
      <c r="H289">
        <v>0.05</v>
      </c>
      <c r="I289">
        <v>290.8</v>
      </c>
      <c r="J289">
        <v>182.24</v>
      </c>
      <c r="K289">
        <v>108.56</v>
      </c>
      <c r="L289" t="s">
        <v>35</v>
      </c>
      <c r="M289">
        <v>0.37330000000000002</v>
      </c>
    </row>
    <row r="290" spans="1:13" x14ac:dyDescent="0.3">
      <c r="A290" t="s">
        <v>327</v>
      </c>
      <c r="B290" s="2">
        <v>45948</v>
      </c>
      <c r="C290" t="s">
        <v>24</v>
      </c>
      <c r="D290" t="s">
        <v>41</v>
      </c>
      <c r="E290" t="s">
        <v>21</v>
      </c>
      <c r="F290">
        <v>5</v>
      </c>
      <c r="G290">
        <v>29.95</v>
      </c>
      <c r="H290">
        <v>0</v>
      </c>
      <c r="I290">
        <v>149.75</v>
      </c>
      <c r="J290">
        <v>115.72</v>
      </c>
      <c r="K290">
        <v>34.03</v>
      </c>
      <c r="L290" t="s">
        <v>58</v>
      </c>
      <c r="M290">
        <v>0.22720000000000001</v>
      </c>
    </row>
    <row r="291" spans="1:13" x14ac:dyDescent="0.3">
      <c r="A291" t="s">
        <v>328</v>
      </c>
      <c r="B291" s="2">
        <v>45789</v>
      </c>
      <c r="C291" t="s">
        <v>14</v>
      </c>
      <c r="D291" t="s">
        <v>72</v>
      </c>
      <c r="E291" t="s">
        <v>16</v>
      </c>
      <c r="F291">
        <v>2</v>
      </c>
      <c r="G291">
        <v>248.69</v>
      </c>
      <c r="H291">
        <v>0.1</v>
      </c>
      <c r="I291">
        <v>447.64</v>
      </c>
      <c r="J291">
        <v>288.92</v>
      </c>
      <c r="K291">
        <v>158.72</v>
      </c>
      <c r="L291" t="s">
        <v>33</v>
      </c>
      <c r="M291">
        <v>0.35460000000000003</v>
      </c>
    </row>
    <row r="292" spans="1:13" x14ac:dyDescent="0.3">
      <c r="A292" t="s">
        <v>329</v>
      </c>
      <c r="B292" s="2">
        <v>45816</v>
      </c>
      <c r="C292" t="s">
        <v>19</v>
      </c>
      <c r="D292" t="s">
        <v>48</v>
      </c>
      <c r="E292" t="s">
        <v>16</v>
      </c>
      <c r="F292">
        <v>6</v>
      </c>
      <c r="G292">
        <v>667.75</v>
      </c>
      <c r="H292">
        <v>0.05</v>
      </c>
      <c r="I292">
        <v>3806.18</v>
      </c>
      <c r="J292">
        <v>2373.33</v>
      </c>
      <c r="K292">
        <v>1432.85</v>
      </c>
      <c r="L292" t="s">
        <v>22</v>
      </c>
      <c r="M292">
        <v>0.3765</v>
      </c>
    </row>
    <row r="293" spans="1:13" x14ac:dyDescent="0.3">
      <c r="A293" t="s">
        <v>330</v>
      </c>
      <c r="B293" s="2">
        <v>45920</v>
      </c>
      <c r="C293" t="s">
        <v>14</v>
      </c>
      <c r="D293" t="s">
        <v>15</v>
      </c>
      <c r="E293" t="s">
        <v>16</v>
      </c>
      <c r="F293">
        <v>1</v>
      </c>
      <c r="G293">
        <v>446.64</v>
      </c>
      <c r="H293">
        <v>0</v>
      </c>
      <c r="I293">
        <v>446.64</v>
      </c>
      <c r="J293">
        <v>362.27</v>
      </c>
      <c r="K293">
        <v>84.37</v>
      </c>
      <c r="L293" t="s">
        <v>38</v>
      </c>
      <c r="M293">
        <v>0.18890000000000001</v>
      </c>
    </row>
    <row r="294" spans="1:13" x14ac:dyDescent="0.3">
      <c r="A294" t="s">
        <v>331</v>
      </c>
      <c r="B294" s="2">
        <v>45775</v>
      </c>
      <c r="C294" t="s">
        <v>32</v>
      </c>
      <c r="D294" t="s">
        <v>48</v>
      </c>
      <c r="E294" t="s">
        <v>16</v>
      </c>
      <c r="F294">
        <v>4</v>
      </c>
      <c r="G294">
        <v>578.22</v>
      </c>
      <c r="H294">
        <v>0.05</v>
      </c>
      <c r="I294">
        <v>2197.2399999999998</v>
      </c>
      <c r="J294">
        <v>1776.11</v>
      </c>
      <c r="K294">
        <v>421.13</v>
      </c>
      <c r="L294" t="s">
        <v>17</v>
      </c>
      <c r="M294">
        <v>0.19170000000000001</v>
      </c>
    </row>
    <row r="295" spans="1:13" x14ac:dyDescent="0.3">
      <c r="A295" t="s">
        <v>332</v>
      </c>
      <c r="B295" s="2">
        <v>45778</v>
      </c>
      <c r="C295" t="s">
        <v>32</v>
      </c>
      <c r="D295" t="s">
        <v>25</v>
      </c>
      <c r="E295" t="s">
        <v>21</v>
      </c>
      <c r="F295">
        <v>4</v>
      </c>
      <c r="G295">
        <v>59.65</v>
      </c>
      <c r="H295">
        <v>0</v>
      </c>
      <c r="I295">
        <v>238.6</v>
      </c>
      <c r="J295">
        <v>173.38</v>
      </c>
      <c r="K295">
        <v>65.22</v>
      </c>
      <c r="L295" t="s">
        <v>33</v>
      </c>
      <c r="M295">
        <v>0.27329999999999999</v>
      </c>
    </row>
    <row r="296" spans="1:13" x14ac:dyDescent="0.3">
      <c r="A296" t="s">
        <v>333</v>
      </c>
      <c r="B296" s="2">
        <v>45676</v>
      </c>
      <c r="C296" t="s">
        <v>24</v>
      </c>
      <c r="D296" t="s">
        <v>37</v>
      </c>
      <c r="E296" t="s">
        <v>16</v>
      </c>
      <c r="F296">
        <v>1</v>
      </c>
      <c r="G296">
        <v>213.43</v>
      </c>
      <c r="H296">
        <v>0.1</v>
      </c>
      <c r="I296">
        <v>192.09</v>
      </c>
      <c r="J296">
        <v>124.08</v>
      </c>
      <c r="K296">
        <v>68.010000000000005</v>
      </c>
      <c r="L296" t="s">
        <v>65</v>
      </c>
      <c r="M296">
        <v>0.35410000000000003</v>
      </c>
    </row>
    <row r="297" spans="1:13" x14ac:dyDescent="0.3">
      <c r="A297" t="s">
        <v>334</v>
      </c>
      <c r="B297" s="2">
        <v>45899</v>
      </c>
      <c r="C297" t="s">
        <v>32</v>
      </c>
      <c r="D297" t="s">
        <v>41</v>
      </c>
      <c r="E297" t="s">
        <v>21</v>
      </c>
      <c r="F297">
        <v>7</v>
      </c>
      <c r="G297">
        <v>54.06</v>
      </c>
      <c r="H297">
        <v>0</v>
      </c>
      <c r="I297">
        <v>378.42</v>
      </c>
      <c r="J297">
        <v>276.14</v>
      </c>
      <c r="K297">
        <v>102.28</v>
      </c>
      <c r="L297" t="s">
        <v>44</v>
      </c>
      <c r="M297">
        <v>0.27029999999999998</v>
      </c>
    </row>
    <row r="298" spans="1:13" x14ac:dyDescent="0.3">
      <c r="A298" t="s">
        <v>335</v>
      </c>
      <c r="B298" s="2">
        <v>45807</v>
      </c>
      <c r="C298" t="s">
        <v>24</v>
      </c>
      <c r="D298" t="s">
        <v>15</v>
      </c>
      <c r="E298" t="s">
        <v>16</v>
      </c>
      <c r="F298">
        <v>1</v>
      </c>
      <c r="G298">
        <v>526.33000000000004</v>
      </c>
      <c r="H298">
        <v>0.1</v>
      </c>
      <c r="I298">
        <v>473.7</v>
      </c>
      <c r="J298">
        <v>299.39</v>
      </c>
      <c r="K298">
        <v>174.31</v>
      </c>
      <c r="L298" t="s">
        <v>33</v>
      </c>
      <c r="M298">
        <v>0.36799999999999999</v>
      </c>
    </row>
    <row r="299" spans="1:13" x14ac:dyDescent="0.3">
      <c r="A299" t="s">
        <v>336</v>
      </c>
      <c r="B299" s="2">
        <v>45735</v>
      </c>
      <c r="C299" t="s">
        <v>32</v>
      </c>
      <c r="D299" t="s">
        <v>28</v>
      </c>
      <c r="E299" t="s">
        <v>21</v>
      </c>
      <c r="F299">
        <v>7</v>
      </c>
      <c r="G299">
        <v>77.599999999999994</v>
      </c>
      <c r="H299">
        <v>0</v>
      </c>
      <c r="I299">
        <v>543.20000000000005</v>
      </c>
      <c r="J299">
        <v>398.23</v>
      </c>
      <c r="K299">
        <v>144.97</v>
      </c>
      <c r="L299" t="s">
        <v>49</v>
      </c>
      <c r="M299">
        <v>0.26690000000000003</v>
      </c>
    </row>
    <row r="300" spans="1:13" x14ac:dyDescent="0.3">
      <c r="A300" t="s">
        <v>337</v>
      </c>
      <c r="B300" s="2">
        <v>45742</v>
      </c>
      <c r="C300" t="s">
        <v>14</v>
      </c>
      <c r="D300" t="s">
        <v>28</v>
      </c>
      <c r="E300" t="s">
        <v>21</v>
      </c>
      <c r="F300">
        <v>1</v>
      </c>
      <c r="G300">
        <v>126.9</v>
      </c>
      <c r="H300">
        <v>0.15</v>
      </c>
      <c r="I300">
        <v>107.86</v>
      </c>
      <c r="J300">
        <v>66.09</v>
      </c>
      <c r="K300">
        <v>41.77</v>
      </c>
      <c r="L300" t="s">
        <v>49</v>
      </c>
      <c r="M300">
        <v>0.38729999999999998</v>
      </c>
    </row>
    <row r="301" spans="1:13" x14ac:dyDescent="0.3">
      <c r="A301" t="s">
        <v>338</v>
      </c>
      <c r="B301" s="2">
        <v>45937</v>
      </c>
      <c r="C301" t="s">
        <v>24</v>
      </c>
      <c r="D301" t="s">
        <v>20</v>
      </c>
      <c r="E301" t="s">
        <v>21</v>
      </c>
      <c r="F301">
        <v>2</v>
      </c>
      <c r="G301">
        <v>65.680000000000007</v>
      </c>
      <c r="H301">
        <v>0.1</v>
      </c>
      <c r="I301">
        <v>118.22</v>
      </c>
      <c r="J301">
        <v>88.21</v>
      </c>
      <c r="K301">
        <v>30.01</v>
      </c>
      <c r="L301" t="s">
        <v>58</v>
      </c>
      <c r="M301">
        <v>0.25380000000000003</v>
      </c>
    </row>
    <row r="302" spans="1:13" x14ac:dyDescent="0.3">
      <c r="A302" t="s">
        <v>339</v>
      </c>
      <c r="B302" s="2">
        <v>45766</v>
      </c>
      <c r="C302" t="s">
        <v>14</v>
      </c>
      <c r="D302" t="s">
        <v>25</v>
      </c>
      <c r="E302" t="s">
        <v>21</v>
      </c>
      <c r="F302">
        <v>3</v>
      </c>
      <c r="G302">
        <v>108.42</v>
      </c>
      <c r="H302">
        <v>0</v>
      </c>
      <c r="I302">
        <v>325.26</v>
      </c>
      <c r="J302">
        <v>259.33999999999997</v>
      </c>
      <c r="K302">
        <v>65.92</v>
      </c>
      <c r="L302" t="s">
        <v>17</v>
      </c>
      <c r="M302">
        <v>0.20269999999999999</v>
      </c>
    </row>
    <row r="303" spans="1:13" x14ac:dyDescent="0.3">
      <c r="A303" t="s">
        <v>340</v>
      </c>
      <c r="B303" s="2">
        <v>45727</v>
      </c>
      <c r="C303" t="s">
        <v>32</v>
      </c>
      <c r="D303" t="s">
        <v>41</v>
      </c>
      <c r="E303" t="s">
        <v>21</v>
      </c>
      <c r="F303">
        <v>5</v>
      </c>
      <c r="G303">
        <v>68.33</v>
      </c>
      <c r="H303">
        <v>0</v>
      </c>
      <c r="I303">
        <v>341.65</v>
      </c>
      <c r="J303">
        <v>224.67</v>
      </c>
      <c r="K303">
        <v>116.98</v>
      </c>
      <c r="L303" t="s">
        <v>49</v>
      </c>
      <c r="M303">
        <v>0.34239999999999998</v>
      </c>
    </row>
    <row r="304" spans="1:13" x14ac:dyDescent="0.3">
      <c r="A304" t="s">
        <v>341</v>
      </c>
      <c r="B304" s="2">
        <v>45684</v>
      </c>
      <c r="C304" t="s">
        <v>24</v>
      </c>
      <c r="D304" t="s">
        <v>15</v>
      </c>
      <c r="E304" t="s">
        <v>16</v>
      </c>
      <c r="F304">
        <v>4</v>
      </c>
      <c r="G304">
        <v>387.93</v>
      </c>
      <c r="H304">
        <v>0.1</v>
      </c>
      <c r="I304">
        <v>1396.55</v>
      </c>
      <c r="J304">
        <v>1034.43</v>
      </c>
      <c r="K304">
        <v>362.12</v>
      </c>
      <c r="L304" t="s">
        <v>65</v>
      </c>
      <c r="M304">
        <v>0.25929999999999997</v>
      </c>
    </row>
    <row r="305" spans="1:13" x14ac:dyDescent="0.3">
      <c r="A305" t="s">
        <v>342</v>
      </c>
      <c r="B305" s="2">
        <v>45715</v>
      </c>
      <c r="C305" t="s">
        <v>19</v>
      </c>
      <c r="D305" t="s">
        <v>28</v>
      </c>
      <c r="E305" t="s">
        <v>21</v>
      </c>
      <c r="F305">
        <v>6</v>
      </c>
      <c r="G305">
        <v>144.66999999999999</v>
      </c>
      <c r="H305">
        <v>0.05</v>
      </c>
      <c r="I305">
        <v>824.62</v>
      </c>
      <c r="J305">
        <v>523.96</v>
      </c>
      <c r="K305">
        <v>300.66000000000003</v>
      </c>
      <c r="L305" t="s">
        <v>29</v>
      </c>
      <c r="M305">
        <v>0.36459999999999998</v>
      </c>
    </row>
    <row r="306" spans="1:13" x14ac:dyDescent="0.3">
      <c r="A306" t="s">
        <v>343</v>
      </c>
      <c r="B306" s="2">
        <v>45948</v>
      </c>
      <c r="C306" t="s">
        <v>14</v>
      </c>
      <c r="D306" t="s">
        <v>25</v>
      </c>
      <c r="E306" t="s">
        <v>21</v>
      </c>
      <c r="F306">
        <v>6</v>
      </c>
      <c r="G306">
        <v>36.799999999999997</v>
      </c>
      <c r="H306">
        <v>0</v>
      </c>
      <c r="I306">
        <v>220.8</v>
      </c>
      <c r="J306">
        <v>147.30000000000001</v>
      </c>
      <c r="K306">
        <v>73.5</v>
      </c>
      <c r="L306" t="s">
        <v>58</v>
      </c>
      <c r="M306">
        <v>0.33289999999999997</v>
      </c>
    </row>
    <row r="307" spans="1:13" x14ac:dyDescent="0.3">
      <c r="A307" t="s">
        <v>344</v>
      </c>
      <c r="B307" s="2">
        <v>45990</v>
      </c>
      <c r="C307" t="s">
        <v>32</v>
      </c>
      <c r="D307" t="s">
        <v>15</v>
      </c>
      <c r="E307" t="s">
        <v>16</v>
      </c>
      <c r="F307">
        <v>6</v>
      </c>
      <c r="G307">
        <v>336.78</v>
      </c>
      <c r="H307">
        <v>0.05</v>
      </c>
      <c r="I307">
        <v>1919.65</v>
      </c>
      <c r="J307">
        <v>1154.29</v>
      </c>
      <c r="K307">
        <v>765.36</v>
      </c>
      <c r="L307" t="s">
        <v>35</v>
      </c>
      <c r="M307">
        <v>0.3987</v>
      </c>
    </row>
    <row r="308" spans="1:13" x14ac:dyDescent="0.3">
      <c r="A308" t="s">
        <v>345</v>
      </c>
      <c r="B308" s="2">
        <v>45778</v>
      </c>
      <c r="C308" t="s">
        <v>19</v>
      </c>
      <c r="D308" t="s">
        <v>15</v>
      </c>
      <c r="E308" t="s">
        <v>16</v>
      </c>
      <c r="F308">
        <v>7</v>
      </c>
      <c r="G308">
        <v>274.44</v>
      </c>
      <c r="H308">
        <v>0.05</v>
      </c>
      <c r="I308">
        <v>1825.03</v>
      </c>
      <c r="J308">
        <v>1100.8599999999999</v>
      </c>
      <c r="K308">
        <v>724.17</v>
      </c>
      <c r="L308" t="s">
        <v>33</v>
      </c>
      <c r="M308">
        <v>0.39679999999999999</v>
      </c>
    </row>
    <row r="309" spans="1:13" x14ac:dyDescent="0.3">
      <c r="A309" t="s">
        <v>346</v>
      </c>
      <c r="B309" s="2">
        <v>45801</v>
      </c>
      <c r="C309" t="s">
        <v>14</v>
      </c>
      <c r="D309" t="s">
        <v>72</v>
      </c>
      <c r="E309" t="s">
        <v>16</v>
      </c>
      <c r="F309">
        <v>4</v>
      </c>
      <c r="G309">
        <v>180.37</v>
      </c>
      <c r="H309">
        <v>0.05</v>
      </c>
      <c r="I309">
        <v>685.41</v>
      </c>
      <c r="J309">
        <v>528.39</v>
      </c>
      <c r="K309">
        <v>157.02000000000001</v>
      </c>
      <c r="L309" t="s">
        <v>33</v>
      </c>
      <c r="M309">
        <v>0.2291</v>
      </c>
    </row>
    <row r="310" spans="1:13" x14ac:dyDescent="0.3">
      <c r="A310" t="s">
        <v>347</v>
      </c>
      <c r="B310" s="2">
        <v>46017</v>
      </c>
      <c r="C310" t="s">
        <v>24</v>
      </c>
      <c r="D310" t="s">
        <v>28</v>
      </c>
      <c r="E310" t="s">
        <v>21</v>
      </c>
      <c r="F310">
        <v>7</v>
      </c>
      <c r="G310">
        <v>108.87</v>
      </c>
      <c r="H310">
        <v>0</v>
      </c>
      <c r="I310">
        <v>762.09</v>
      </c>
      <c r="J310">
        <v>623.54</v>
      </c>
      <c r="K310">
        <v>138.55000000000001</v>
      </c>
      <c r="L310" t="s">
        <v>46</v>
      </c>
      <c r="M310">
        <v>0.18179999999999999</v>
      </c>
    </row>
    <row r="311" spans="1:13" x14ac:dyDescent="0.3">
      <c r="A311" t="s">
        <v>348</v>
      </c>
      <c r="B311" s="2">
        <v>45888</v>
      </c>
      <c r="C311" t="s">
        <v>24</v>
      </c>
      <c r="D311" t="s">
        <v>41</v>
      </c>
      <c r="E311" t="s">
        <v>21</v>
      </c>
      <c r="F311">
        <v>1</v>
      </c>
      <c r="G311">
        <v>65.05</v>
      </c>
      <c r="H311">
        <v>0.05</v>
      </c>
      <c r="I311">
        <v>61.8</v>
      </c>
      <c r="J311">
        <v>45.09</v>
      </c>
      <c r="K311">
        <v>16.71</v>
      </c>
      <c r="L311" t="s">
        <v>44</v>
      </c>
      <c r="M311">
        <v>0.27039999999999997</v>
      </c>
    </row>
    <row r="312" spans="1:13" x14ac:dyDescent="0.3">
      <c r="A312" t="s">
        <v>349</v>
      </c>
      <c r="B312" s="2">
        <v>45799</v>
      </c>
      <c r="C312" t="s">
        <v>24</v>
      </c>
      <c r="D312" t="s">
        <v>48</v>
      </c>
      <c r="E312" t="s">
        <v>16</v>
      </c>
      <c r="F312">
        <v>5</v>
      </c>
      <c r="G312">
        <v>1086.94</v>
      </c>
      <c r="H312">
        <v>0.1</v>
      </c>
      <c r="I312">
        <v>4891.2299999999996</v>
      </c>
      <c r="J312">
        <v>3668.91</v>
      </c>
      <c r="K312">
        <v>1222.32</v>
      </c>
      <c r="L312" t="s">
        <v>33</v>
      </c>
      <c r="M312">
        <v>0.24990000000000001</v>
      </c>
    </row>
    <row r="313" spans="1:13" x14ac:dyDescent="0.3">
      <c r="A313" t="s">
        <v>350</v>
      </c>
      <c r="B313" s="2">
        <v>45906</v>
      </c>
      <c r="C313" t="s">
        <v>32</v>
      </c>
      <c r="D313" t="s">
        <v>48</v>
      </c>
      <c r="E313" t="s">
        <v>16</v>
      </c>
      <c r="F313">
        <v>7</v>
      </c>
      <c r="G313">
        <v>721.02</v>
      </c>
      <c r="H313">
        <v>0</v>
      </c>
      <c r="I313">
        <v>5047.1400000000003</v>
      </c>
      <c r="J313">
        <v>3033.5</v>
      </c>
      <c r="K313">
        <v>2013.64</v>
      </c>
      <c r="L313" t="s">
        <v>38</v>
      </c>
      <c r="M313">
        <v>0.39900000000000002</v>
      </c>
    </row>
    <row r="314" spans="1:13" x14ac:dyDescent="0.3">
      <c r="A314" t="s">
        <v>351</v>
      </c>
      <c r="B314" s="2">
        <v>45968</v>
      </c>
      <c r="C314" t="s">
        <v>14</v>
      </c>
      <c r="D314" t="s">
        <v>48</v>
      </c>
      <c r="E314" t="s">
        <v>16</v>
      </c>
      <c r="F314">
        <v>3</v>
      </c>
      <c r="G314">
        <v>1086.44</v>
      </c>
      <c r="H314">
        <v>0</v>
      </c>
      <c r="I314">
        <v>3259.32</v>
      </c>
      <c r="J314">
        <v>2627.58</v>
      </c>
      <c r="K314">
        <v>631.74</v>
      </c>
      <c r="L314" t="s">
        <v>35</v>
      </c>
      <c r="M314">
        <v>0.1938</v>
      </c>
    </row>
    <row r="315" spans="1:13" x14ac:dyDescent="0.3">
      <c r="A315" t="s">
        <v>352</v>
      </c>
      <c r="B315" s="2">
        <v>45669</v>
      </c>
      <c r="C315" t="s">
        <v>19</v>
      </c>
      <c r="D315" t="s">
        <v>20</v>
      </c>
      <c r="E315" t="s">
        <v>21</v>
      </c>
      <c r="F315">
        <v>6</v>
      </c>
      <c r="G315">
        <v>72.209999999999994</v>
      </c>
      <c r="H315">
        <v>0.15</v>
      </c>
      <c r="I315">
        <v>368.27</v>
      </c>
      <c r="J315">
        <v>288.85000000000002</v>
      </c>
      <c r="K315">
        <v>79.42</v>
      </c>
      <c r="L315" t="s">
        <v>65</v>
      </c>
      <c r="M315">
        <v>0.2157</v>
      </c>
    </row>
    <row r="316" spans="1:13" x14ac:dyDescent="0.3">
      <c r="A316" t="s">
        <v>353</v>
      </c>
      <c r="B316" s="2">
        <v>45815</v>
      </c>
      <c r="C316" t="s">
        <v>14</v>
      </c>
      <c r="D316" t="s">
        <v>48</v>
      </c>
      <c r="E316" t="s">
        <v>16</v>
      </c>
      <c r="F316">
        <v>2</v>
      </c>
      <c r="G316">
        <v>900.83</v>
      </c>
      <c r="H316">
        <v>0.05</v>
      </c>
      <c r="I316">
        <v>1711.58</v>
      </c>
      <c r="J316">
        <v>1269.71</v>
      </c>
      <c r="K316">
        <v>441.87</v>
      </c>
      <c r="L316" t="s">
        <v>22</v>
      </c>
      <c r="M316">
        <v>0.25819999999999999</v>
      </c>
    </row>
    <row r="317" spans="1:13" x14ac:dyDescent="0.3">
      <c r="A317" t="s">
        <v>354</v>
      </c>
      <c r="B317" s="2">
        <v>45820</v>
      </c>
      <c r="C317" t="s">
        <v>14</v>
      </c>
      <c r="D317" t="s">
        <v>25</v>
      </c>
      <c r="E317" t="s">
        <v>21</v>
      </c>
      <c r="F317">
        <v>3</v>
      </c>
      <c r="G317">
        <v>132.69999999999999</v>
      </c>
      <c r="H317">
        <v>0</v>
      </c>
      <c r="I317">
        <v>398.1</v>
      </c>
      <c r="J317">
        <v>238.63</v>
      </c>
      <c r="K317">
        <v>159.47</v>
      </c>
      <c r="L317" t="s">
        <v>22</v>
      </c>
      <c r="M317">
        <v>0.40060000000000001</v>
      </c>
    </row>
    <row r="318" spans="1:13" x14ac:dyDescent="0.3">
      <c r="A318" t="s">
        <v>355</v>
      </c>
      <c r="B318" s="2">
        <v>45923</v>
      </c>
      <c r="C318" t="s">
        <v>32</v>
      </c>
      <c r="D318" t="s">
        <v>20</v>
      </c>
      <c r="E318" t="s">
        <v>21</v>
      </c>
      <c r="F318">
        <v>2</v>
      </c>
      <c r="G318">
        <v>46.24</v>
      </c>
      <c r="H318">
        <v>0.15</v>
      </c>
      <c r="I318">
        <v>78.61</v>
      </c>
      <c r="J318">
        <v>56.41</v>
      </c>
      <c r="K318">
        <v>22.2</v>
      </c>
      <c r="L318" t="s">
        <v>38</v>
      </c>
      <c r="M318">
        <v>0.28239999999999998</v>
      </c>
    </row>
    <row r="319" spans="1:13" x14ac:dyDescent="0.3">
      <c r="A319" t="s">
        <v>356</v>
      </c>
      <c r="B319" s="2">
        <v>45978</v>
      </c>
      <c r="C319" t="s">
        <v>14</v>
      </c>
      <c r="D319" t="s">
        <v>37</v>
      </c>
      <c r="E319" t="s">
        <v>16</v>
      </c>
      <c r="F319">
        <v>1</v>
      </c>
      <c r="G319">
        <v>288.60000000000002</v>
      </c>
      <c r="H319">
        <v>0</v>
      </c>
      <c r="I319">
        <v>288.60000000000002</v>
      </c>
      <c r="J319">
        <v>209.39</v>
      </c>
      <c r="K319">
        <v>79.209999999999994</v>
      </c>
      <c r="L319" t="s">
        <v>35</v>
      </c>
      <c r="M319">
        <v>0.27450000000000002</v>
      </c>
    </row>
    <row r="320" spans="1:13" x14ac:dyDescent="0.3">
      <c r="A320" t="s">
        <v>357</v>
      </c>
      <c r="B320" s="2">
        <v>45682</v>
      </c>
      <c r="C320" t="s">
        <v>32</v>
      </c>
      <c r="D320" t="s">
        <v>72</v>
      </c>
      <c r="E320" t="s">
        <v>16</v>
      </c>
      <c r="F320">
        <v>6</v>
      </c>
      <c r="G320">
        <v>305.63</v>
      </c>
      <c r="H320">
        <v>0</v>
      </c>
      <c r="I320">
        <v>1833.78</v>
      </c>
      <c r="J320">
        <v>1482.93</v>
      </c>
      <c r="K320">
        <v>350.85</v>
      </c>
      <c r="L320" t="s">
        <v>65</v>
      </c>
      <c r="M320">
        <v>0.1913</v>
      </c>
    </row>
    <row r="321" spans="1:13" x14ac:dyDescent="0.3">
      <c r="A321" t="s">
        <v>358</v>
      </c>
      <c r="B321" s="2">
        <v>45725</v>
      </c>
      <c r="C321" t="s">
        <v>32</v>
      </c>
      <c r="D321" t="s">
        <v>28</v>
      </c>
      <c r="E321" t="s">
        <v>21</v>
      </c>
      <c r="F321">
        <v>2</v>
      </c>
      <c r="G321">
        <v>47.61</v>
      </c>
      <c r="H321">
        <v>0</v>
      </c>
      <c r="I321">
        <v>95.22</v>
      </c>
      <c r="J321">
        <v>58.32</v>
      </c>
      <c r="K321">
        <v>36.9</v>
      </c>
      <c r="L321" t="s">
        <v>49</v>
      </c>
      <c r="M321">
        <v>0.38750000000000001</v>
      </c>
    </row>
    <row r="322" spans="1:13" x14ac:dyDescent="0.3">
      <c r="A322" t="s">
        <v>359</v>
      </c>
      <c r="B322" s="2">
        <v>45991</v>
      </c>
      <c r="C322" t="s">
        <v>24</v>
      </c>
      <c r="D322" t="s">
        <v>41</v>
      </c>
      <c r="E322" t="s">
        <v>21</v>
      </c>
      <c r="F322">
        <v>4</v>
      </c>
      <c r="G322">
        <v>72.849999999999994</v>
      </c>
      <c r="H322">
        <v>0</v>
      </c>
      <c r="I322">
        <v>291.39999999999998</v>
      </c>
      <c r="J322">
        <v>190.82</v>
      </c>
      <c r="K322">
        <v>100.58</v>
      </c>
      <c r="L322" t="s">
        <v>35</v>
      </c>
      <c r="M322">
        <v>0.34520000000000001</v>
      </c>
    </row>
    <row r="323" spans="1:13" x14ac:dyDescent="0.3">
      <c r="A323" t="s">
        <v>360</v>
      </c>
      <c r="B323" s="2">
        <v>45911</v>
      </c>
      <c r="C323" t="s">
        <v>14</v>
      </c>
      <c r="D323" t="s">
        <v>37</v>
      </c>
      <c r="E323" t="s">
        <v>16</v>
      </c>
      <c r="F323">
        <v>5</v>
      </c>
      <c r="G323">
        <v>172.76</v>
      </c>
      <c r="H323">
        <v>0.05</v>
      </c>
      <c r="I323">
        <v>820.61</v>
      </c>
      <c r="J323">
        <v>518.5</v>
      </c>
      <c r="K323">
        <v>302.11</v>
      </c>
      <c r="L323" t="s">
        <v>38</v>
      </c>
      <c r="M323">
        <v>0.36820000000000003</v>
      </c>
    </row>
    <row r="324" spans="1:13" x14ac:dyDescent="0.3">
      <c r="A324" t="s">
        <v>361</v>
      </c>
      <c r="B324" s="2">
        <v>45923</v>
      </c>
      <c r="C324" t="s">
        <v>32</v>
      </c>
      <c r="D324" t="s">
        <v>41</v>
      </c>
      <c r="E324" t="s">
        <v>21</v>
      </c>
      <c r="F324">
        <v>7</v>
      </c>
      <c r="G324">
        <v>21.58</v>
      </c>
      <c r="H324">
        <v>0</v>
      </c>
      <c r="I324">
        <v>151.06</v>
      </c>
      <c r="J324">
        <v>115.92</v>
      </c>
      <c r="K324">
        <v>35.14</v>
      </c>
      <c r="L324" t="s">
        <v>38</v>
      </c>
      <c r="M324">
        <v>0.2326</v>
      </c>
    </row>
    <row r="325" spans="1:13" x14ac:dyDescent="0.3">
      <c r="A325" t="s">
        <v>362</v>
      </c>
      <c r="B325" s="2">
        <v>45740</v>
      </c>
      <c r="C325" t="s">
        <v>32</v>
      </c>
      <c r="D325" t="s">
        <v>37</v>
      </c>
      <c r="E325" t="s">
        <v>16</v>
      </c>
      <c r="F325">
        <v>6</v>
      </c>
      <c r="G325">
        <v>448.41</v>
      </c>
      <c r="H325">
        <v>0</v>
      </c>
      <c r="I325">
        <v>2690.46</v>
      </c>
      <c r="J325">
        <v>2009.26</v>
      </c>
      <c r="K325">
        <v>681.2</v>
      </c>
      <c r="L325" t="s">
        <v>49</v>
      </c>
      <c r="M325">
        <v>0.25319999999999998</v>
      </c>
    </row>
    <row r="326" spans="1:13" x14ac:dyDescent="0.3">
      <c r="A326" t="s">
        <v>363</v>
      </c>
      <c r="B326" s="2">
        <v>45737</v>
      </c>
      <c r="C326" t="s">
        <v>24</v>
      </c>
      <c r="D326" t="s">
        <v>20</v>
      </c>
      <c r="E326" t="s">
        <v>21</v>
      </c>
      <c r="F326">
        <v>5</v>
      </c>
      <c r="G326">
        <v>36.53</v>
      </c>
      <c r="H326">
        <v>0</v>
      </c>
      <c r="I326">
        <v>182.65</v>
      </c>
      <c r="J326">
        <v>110.37</v>
      </c>
      <c r="K326">
        <v>72.28</v>
      </c>
      <c r="L326" t="s">
        <v>49</v>
      </c>
      <c r="M326">
        <v>0.3957</v>
      </c>
    </row>
    <row r="327" spans="1:13" x14ac:dyDescent="0.3">
      <c r="A327" t="s">
        <v>364</v>
      </c>
      <c r="B327" s="2">
        <v>46016</v>
      </c>
      <c r="C327" t="s">
        <v>24</v>
      </c>
      <c r="D327" t="s">
        <v>41</v>
      </c>
      <c r="E327" t="s">
        <v>21</v>
      </c>
      <c r="F327">
        <v>1</v>
      </c>
      <c r="G327">
        <v>44.09</v>
      </c>
      <c r="H327">
        <v>0.15</v>
      </c>
      <c r="I327">
        <v>37.479999999999997</v>
      </c>
      <c r="J327">
        <v>29.06</v>
      </c>
      <c r="K327">
        <v>8.42</v>
      </c>
      <c r="L327" t="s">
        <v>46</v>
      </c>
      <c r="M327">
        <v>0.22470000000000001</v>
      </c>
    </row>
    <row r="328" spans="1:13" x14ac:dyDescent="0.3">
      <c r="A328" t="s">
        <v>365</v>
      </c>
      <c r="B328" s="2">
        <v>45720</v>
      </c>
      <c r="C328" t="s">
        <v>32</v>
      </c>
      <c r="D328" t="s">
        <v>41</v>
      </c>
      <c r="E328" t="s">
        <v>21</v>
      </c>
      <c r="F328">
        <v>5</v>
      </c>
      <c r="G328">
        <v>51.31</v>
      </c>
      <c r="H328">
        <v>0.05</v>
      </c>
      <c r="I328">
        <v>243.72</v>
      </c>
      <c r="J328">
        <v>166.28</v>
      </c>
      <c r="K328">
        <v>77.44</v>
      </c>
      <c r="L328" t="s">
        <v>49</v>
      </c>
      <c r="M328">
        <v>0.31769999999999998</v>
      </c>
    </row>
    <row r="329" spans="1:13" x14ac:dyDescent="0.3">
      <c r="A329" t="s">
        <v>366</v>
      </c>
      <c r="B329" s="2">
        <v>45749</v>
      </c>
      <c r="C329" t="s">
        <v>14</v>
      </c>
      <c r="D329" t="s">
        <v>41</v>
      </c>
      <c r="E329" t="s">
        <v>21</v>
      </c>
      <c r="F329">
        <v>7</v>
      </c>
      <c r="G329">
        <v>40.340000000000003</v>
      </c>
      <c r="H329">
        <v>0</v>
      </c>
      <c r="I329">
        <v>282.38</v>
      </c>
      <c r="J329">
        <v>188.7</v>
      </c>
      <c r="K329">
        <v>93.68</v>
      </c>
      <c r="L329" t="s">
        <v>17</v>
      </c>
      <c r="M329">
        <v>0.33179999999999998</v>
      </c>
    </row>
    <row r="330" spans="1:13" x14ac:dyDescent="0.3">
      <c r="A330" t="s">
        <v>367</v>
      </c>
      <c r="B330" s="2">
        <v>45719</v>
      </c>
      <c r="C330" t="s">
        <v>19</v>
      </c>
      <c r="D330" t="s">
        <v>25</v>
      </c>
      <c r="E330" t="s">
        <v>21</v>
      </c>
      <c r="F330">
        <v>7</v>
      </c>
      <c r="G330">
        <v>125.37</v>
      </c>
      <c r="H330">
        <v>0.1</v>
      </c>
      <c r="I330">
        <v>789.83</v>
      </c>
      <c r="J330">
        <v>460.19</v>
      </c>
      <c r="K330">
        <v>329.64</v>
      </c>
      <c r="L330" t="s">
        <v>49</v>
      </c>
      <c r="M330">
        <v>0.41739999999999999</v>
      </c>
    </row>
    <row r="331" spans="1:13" x14ac:dyDescent="0.3">
      <c r="A331" t="s">
        <v>368</v>
      </c>
      <c r="B331" s="2">
        <v>45722</v>
      </c>
      <c r="C331" t="s">
        <v>32</v>
      </c>
      <c r="D331" t="s">
        <v>28</v>
      </c>
      <c r="E331" t="s">
        <v>21</v>
      </c>
      <c r="F331">
        <v>6</v>
      </c>
      <c r="G331">
        <v>181.21</v>
      </c>
      <c r="H331">
        <v>0.05</v>
      </c>
      <c r="I331">
        <v>1032.9000000000001</v>
      </c>
      <c r="J331">
        <v>767.89</v>
      </c>
      <c r="K331">
        <v>265.01</v>
      </c>
      <c r="L331" t="s">
        <v>49</v>
      </c>
      <c r="M331">
        <v>0.25659999999999999</v>
      </c>
    </row>
    <row r="332" spans="1:13" x14ac:dyDescent="0.3">
      <c r="A332" t="s">
        <v>369</v>
      </c>
      <c r="B332" s="2">
        <v>45830</v>
      </c>
      <c r="C332" t="s">
        <v>24</v>
      </c>
      <c r="D332" t="s">
        <v>28</v>
      </c>
      <c r="E332" t="s">
        <v>21</v>
      </c>
      <c r="F332">
        <v>2</v>
      </c>
      <c r="G332">
        <v>79.62</v>
      </c>
      <c r="H332">
        <v>0.15</v>
      </c>
      <c r="I332">
        <v>135.35</v>
      </c>
      <c r="J332">
        <v>104.54</v>
      </c>
      <c r="K332">
        <v>30.81</v>
      </c>
      <c r="L332" t="s">
        <v>22</v>
      </c>
      <c r="M332">
        <v>0.2276</v>
      </c>
    </row>
    <row r="333" spans="1:13" x14ac:dyDescent="0.3">
      <c r="A333" t="s">
        <v>370</v>
      </c>
      <c r="B333" s="2">
        <v>45965</v>
      </c>
      <c r="C333" t="s">
        <v>24</v>
      </c>
      <c r="D333" t="s">
        <v>41</v>
      </c>
      <c r="E333" t="s">
        <v>21</v>
      </c>
      <c r="F333">
        <v>1</v>
      </c>
      <c r="G333">
        <v>18.91</v>
      </c>
      <c r="H333">
        <v>0.05</v>
      </c>
      <c r="I333">
        <v>17.96</v>
      </c>
      <c r="J333">
        <v>12.38</v>
      </c>
      <c r="K333">
        <v>5.58</v>
      </c>
      <c r="L333" t="s">
        <v>35</v>
      </c>
      <c r="M333">
        <v>0.31069999999999998</v>
      </c>
    </row>
    <row r="334" spans="1:13" x14ac:dyDescent="0.3">
      <c r="A334" t="s">
        <v>371</v>
      </c>
      <c r="B334" s="2">
        <v>45909</v>
      </c>
      <c r="C334" t="s">
        <v>14</v>
      </c>
      <c r="D334" t="s">
        <v>15</v>
      </c>
      <c r="E334" t="s">
        <v>16</v>
      </c>
      <c r="F334">
        <v>5</v>
      </c>
      <c r="G334">
        <v>409.47</v>
      </c>
      <c r="H334">
        <v>0</v>
      </c>
      <c r="I334">
        <v>2047.35</v>
      </c>
      <c r="J334">
        <v>1347</v>
      </c>
      <c r="K334">
        <v>700.35</v>
      </c>
      <c r="L334" t="s">
        <v>38</v>
      </c>
      <c r="M334">
        <v>0.34210000000000002</v>
      </c>
    </row>
    <row r="335" spans="1:13" x14ac:dyDescent="0.3">
      <c r="A335" t="s">
        <v>372</v>
      </c>
      <c r="B335" s="2">
        <v>45678</v>
      </c>
      <c r="C335" t="s">
        <v>14</v>
      </c>
      <c r="D335" t="s">
        <v>72</v>
      </c>
      <c r="E335" t="s">
        <v>16</v>
      </c>
      <c r="F335">
        <v>3</v>
      </c>
      <c r="G335">
        <v>187.73</v>
      </c>
      <c r="H335">
        <v>0</v>
      </c>
      <c r="I335">
        <v>563.19000000000005</v>
      </c>
      <c r="J335">
        <v>388.75</v>
      </c>
      <c r="K335">
        <v>174.44</v>
      </c>
      <c r="L335" t="s">
        <v>65</v>
      </c>
      <c r="M335">
        <v>0.30969999999999998</v>
      </c>
    </row>
    <row r="336" spans="1:13" x14ac:dyDescent="0.3">
      <c r="A336" t="s">
        <v>373</v>
      </c>
      <c r="B336" s="2">
        <v>45786</v>
      </c>
      <c r="C336" t="s">
        <v>14</v>
      </c>
      <c r="D336" t="s">
        <v>28</v>
      </c>
      <c r="E336" t="s">
        <v>21</v>
      </c>
      <c r="F336">
        <v>1</v>
      </c>
      <c r="G336">
        <v>211.74</v>
      </c>
      <c r="H336">
        <v>0.1</v>
      </c>
      <c r="I336">
        <v>190.57</v>
      </c>
      <c r="J336">
        <v>124.96</v>
      </c>
      <c r="K336">
        <v>65.61</v>
      </c>
      <c r="L336" t="s">
        <v>33</v>
      </c>
      <c r="M336">
        <v>0.34429999999999999</v>
      </c>
    </row>
    <row r="337" spans="1:13" x14ac:dyDescent="0.3">
      <c r="A337" t="s">
        <v>374</v>
      </c>
      <c r="B337" s="2">
        <v>45889</v>
      </c>
      <c r="C337" t="s">
        <v>32</v>
      </c>
      <c r="D337" t="s">
        <v>41</v>
      </c>
      <c r="E337" t="s">
        <v>21</v>
      </c>
      <c r="F337">
        <v>5</v>
      </c>
      <c r="G337">
        <v>29.6</v>
      </c>
      <c r="H337">
        <v>0.15</v>
      </c>
      <c r="I337">
        <v>125.8</v>
      </c>
      <c r="J337">
        <v>80.599999999999994</v>
      </c>
      <c r="K337">
        <v>45.2</v>
      </c>
      <c r="L337" t="s">
        <v>44</v>
      </c>
      <c r="M337">
        <v>0.35930000000000001</v>
      </c>
    </row>
    <row r="338" spans="1:13" x14ac:dyDescent="0.3">
      <c r="A338" t="s">
        <v>375</v>
      </c>
      <c r="B338" s="2">
        <v>45736</v>
      </c>
      <c r="C338" t="s">
        <v>32</v>
      </c>
      <c r="D338" t="s">
        <v>41</v>
      </c>
      <c r="E338" t="s">
        <v>21</v>
      </c>
      <c r="F338">
        <v>3</v>
      </c>
      <c r="G338">
        <v>43.21</v>
      </c>
      <c r="H338">
        <v>0</v>
      </c>
      <c r="I338">
        <v>129.63</v>
      </c>
      <c r="J338">
        <v>89.19</v>
      </c>
      <c r="K338">
        <v>40.44</v>
      </c>
      <c r="L338" t="s">
        <v>49</v>
      </c>
      <c r="M338">
        <v>0.312</v>
      </c>
    </row>
    <row r="339" spans="1:13" x14ac:dyDescent="0.3">
      <c r="A339" t="s">
        <v>376</v>
      </c>
      <c r="B339" s="2">
        <v>45744</v>
      </c>
      <c r="C339" t="s">
        <v>32</v>
      </c>
      <c r="D339" t="s">
        <v>41</v>
      </c>
      <c r="E339" t="s">
        <v>21</v>
      </c>
      <c r="F339">
        <v>7</v>
      </c>
      <c r="G339">
        <v>44.66</v>
      </c>
      <c r="H339">
        <v>0</v>
      </c>
      <c r="I339">
        <v>312.62</v>
      </c>
      <c r="J339">
        <v>236.65</v>
      </c>
      <c r="K339">
        <v>75.97</v>
      </c>
      <c r="L339" t="s">
        <v>49</v>
      </c>
      <c r="M339">
        <v>0.24299999999999999</v>
      </c>
    </row>
    <row r="340" spans="1:13" x14ac:dyDescent="0.3">
      <c r="A340" t="s">
        <v>377</v>
      </c>
      <c r="B340" s="2">
        <v>45809</v>
      </c>
      <c r="C340" t="s">
        <v>32</v>
      </c>
      <c r="D340" t="s">
        <v>72</v>
      </c>
      <c r="E340" t="s">
        <v>16</v>
      </c>
      <c r="F340">
        <v>5</v>
      </c>
      <c r="G340">
        <v>99.89</v>
      </c>
      <c r="H340">
        <v>0.1</v>
      </c>
      <c r="I340">
        <v>449.5</v>
      </c>
      <c r="J340">
        <v>331.81</v>
      </c>
      <c r="K340">
        <v>117.69</v>
      </c>
      <c r="L340" t="s">
        <v>22</v>
      </c>
      <c r="M340">
        <v>0.26179999999999998</v>
      </c>
    </row>
    <row r="341" spans="1:13" x14ac:dyDescent="0.3">
      <c r="A341" t="s">
        <v>378</v>
      </c>
      <c r="B341" s="2">
        <v>45796</v>
      </c>
      <c r="C341" t="s">
        <v>24</v>
      </c>
      <c r="D341" t="s">
        <v>28</v>
      </c>
      <c r="E341" t="s">
        <v>21</v>
      </c>
      <c r="F341">
        <v>4</v>
      </c>
      <c r="G341">
        <v>171.44</v>
      </c>
      <c r="H341">
        <v>0</v>
      </c>
      <c r="I341">
        <v>685.76</v>
      </c>
      <c r="J341">
        <v>446.55</v>
      </c>
      <c r="K341">
        <v>239.21</v>
      </c>
      <c r="L341" t="s">
        <v>33</v>
      </c>
      <c r="M341">
        <v>0.3488</v>
      </c>
    </row>
    <row r="342" spans="1:13" x14ac:dyDescent="0.3">
      <c r="A342" t="s">
        <v>379</v>
      </c>
      <c r="B342" s="2">
        <v>45918</v>
      </c>
      <c r="C342" t="s">
        <v>32</v>
      </c>
      <c r="D342" t="s">
        <v>15</v>
      </c>
      <c r="E342" t="s">
        <v>16</v>
      </c>
      <c r="F342">
        <v>3</v>
      </c>
      <c r="G342">
        <v>490.84</v>
      </c>
      <c r="H342">
        <v>0</v>
      </c>
      <c r="I342">
        <v>1472.52</v>
      </c>
      <c r="J342">
        <v>915.59</v>
      </c>
      <c r="K342">
        <v>556.92999999999995</v>
      </c>
      <c r="L342" t="s">
        <v>38</v>
      </c>
      <c r="M342">
        <v>0.37819999999999998</v>
      </c>
    </row>
    <row r="343" spans="1:13" x14ac:dyDescent="0.3">
      <c r="A343" t="s">
        <v>380</v>
      </c>
      <c r="B343" s="2">
        <v>45877</v>
      </c>
      <c r="C343" t="s">
        <v>32</v>
      </c>
      <c r="D343" t="s">
        <v>25</v>
      </c>
      <c r="E343" t="s">
        <v>21</v>
      </c>
      <c r="F343">
        <v>6</v>
      </c>
      <c r="G343">
        <v>129.37</v>
      </c>
      <c r="H343">
        <v>0</v>
      </c>
      <c r="I343">
        <v>776.22</v>
      </c>
      <c r="J343">
        <v>454.11</v>
      </c>
      <c r="K343">
        <v>322.11</v>
      </c>
      <c r="L343" t="s">
        <v>44</v>
      </c>
      <c r="M343">
        <v>0.41499999999999998</v>
      </c>
    </row>
    <row r="344" spans="1:13" x14ac:dyDescent="0.3">
      <c r="A344" t="s">
        <v>381</v>
      </c>
      <c r="B344" s="2">
        <v>45949</v>
      </c>
      <c r="C344" t="s">
        <v>14</v>
      </c>
      <c r="D344" t="s">
        <v>15</v>
      </c>
      <c r="E344" t="s">
        <v>16</v>
      </c>
      <c r="F344">
        <v>1</v>
      </c>
      <c r="G344">
        <v>638.72</v>
      </c>
      <c r="H344">
        <v>0.05</v>
      </c>
      <c r="I344">
        <v>606.78</v>
      </c>
      <c r="J344">
        <v>353.45</v>
      </c>
      <c r="K344">
        <v>253.33</v>
      </c>
      <c r="L344" t="s">
        <v>58</v>
      </c>
      <c r="M344">
        <v>0.41749999999999998</v>
      </c>
    </row>
    <row r="345" spans="1:13" x14ac:dyDescent="0.3">
      <c r="A345" t="s">
        <v>382</v>
      </c>
      <c r="B345" s="2">
        <v>45912</v>
      </c>
      <c r="C345" t="s">
        <v>14</v>
      </c>
      <c r="D345" t="s">
        <v>41</v>
      </c>
      <c r="E345" t="s">
        <v>21</v>
      </c>
      <c r="F345">
        <v>6</v>
      </c>
      <c r="G345">
        <v>16.36</v>
      </c>
      <c r="H345">
        <v>0.15</v>
      </c>
      <c r="I345">
        <v>83.44</v>
      </c>
      <c r="J345">
        <v>57.97</v>
      </c>
      <c r="K345">
        <v>25.47</v>
      </c>
      <c r="L345" t="s">
        <v>38</v>
      </c>
      <c r="M345">
        <v>0.30520000000000003</v>
      </c>
    </row>
    <row r="346" spans="1:13" x14ac:dyDescent="0.3">
      <c r="A346" t="s">
        <v>383</v>
      </c>
      <c r="B346" s="2">
        <v>45926</v>
      </c>
      <c r="C346" t="s">
        <v>32</v>
      </c>
      <c r="D346" t="s">
        <v>37</v>
      </c>
      <c r="E346" t="s">
        <v>16</v>
      </c>
      <c r="F346">
        <v>5</v>
      </c>
      <c r="G346">
        <v>178.82</v>
      </c>
      <c r="H346">
        <v>0.05</v>
      </c>
      <c r="I346">
        <v>849.39</v>
      </c>
      <c r="J346">
        <v>515.88</v>
      </c>
      <c r="K346">
        <v>333.51</v>
      </c>
      <c r="L346" t="s">
        <v>38</v>
      </c>
      <c r="M346">
        <v>0.3926</v>
      </c>
    </row>
    <row r="347" spans="1:13" x14ac:dyDescent="0.3">
      <c r="A347" t="s">
        <v>384</v>
      </c>
      <c r="B347" s="2">
        <v>45667</v>
      </c>
      <c r="C347" t="s">
        <v>19</v>
      </c>
      <c r="D347" t="s">
        <v>72</v>
      </c>
      <c r="E347" t="s">
        <v>16</v>
      </c>
      <c r="F347">
        <v>7</v>
      </c>
      <c r="G347">
        <v>225.4</v>
      </c>
      <c r="H347">
        <v>0.05</v>
      </c>
      <c r="I347">
        <v>1498.91</v>
      </c>
      <c r="J347">
        <v>925.72</v>
      </c>
      <c r="K347">
        <v>573.19000000000005</v>
      </c>
      <c r="L347" t="s">
        <v>65</v>
      </c>
      <c r="M347">
        <v>0.38240000000000002</v>
      </c>
    </row>
    <row r="348" spans="1:13" x14ac:dyDescent="0.3">
      <c r="A348" t="s">
        <v>385</v>
      </c>
      <c r="B348" s="2">
        <v>45781</v>
      </c>
      <c r="C348" t="s">
        <v>14</v>
      </c>
      <c r="D348" t="s">
        <v>48</v>
      </c>
      <c r="E348" t="s">
        <v>16</v>
      </c>
      <c r="F348">
        <v>2</v>
      </c>
      <c r="G348">
        <v>696</v>
      </c>
      <c r="H348">
        <v>0</v>
      </c>
      <c r="I348">
        <v>1392</v>
      </c>
      <c r="J348">
        <v>951.71</v>
      </c>
      <c r="K348">
        <v>440.29</v>
      </c>
      <c r="L348" t="s">
        <v>33</v>
      </c>
      <c r="M348">
        <v>0.31630000000000003</v>
      </c>
    </row>
    <row r="349" spans="1:13" x14ac:dyDescent="0.3">
      <c r="A349" t="s">
        <v>386</v>
      </c>
      <c r="B349" s="2">
        <v>45945</v>
      </c>
      <c r="C349" t="s">
        <v>19</v>
      </c>
      <c r="D349" t="s">
        <v>48</v>
      </c>
      <c r="E349" t="s">
        <v>16</v>
      </c>
      <c r="F349">
        <v>2</v>
      </c>
      <c r="G349">
        <v>1163</v>
      </c>
      <c r="H349">
        <v>0</v>
      </c>
      <c r="I349">
        <v>2326</v>
      </c>
      <c r="J349">
        <v>1416.91</v>
      </c>
      <c r="K349">
        <v>909.09</v>
      </c>
      <c r="L349" t="s">
        <v>58</v>
      </c>
      <c r="M349">
        <v>0.39079999999999998</v>
      </c>
    </row>
    <row r="350" spans="1:13" x14ac:dyDescent="0.3">
      <c r="A350" t="s">
        <v>387</v>
      </c>
      <c r="B350" s="2">
        <v>45776</v>
      </c>
      <c r="C350" t="s">
        <v>19</v>
      </c>
      <c r="D350" t="s">
        <v>25</v>
      </c>
      <c r="E350" t="s">
        <v>21</v>
      </c>
      <c r="F350">
        <v>1</v>
      </c>
      <c r="G350">
        <v>113.96</v>
      </c>
      <c r="H350">
        <v>0</v>
      </c>
      <c r="I350">
        <v>113.96</v>
      </c>
      <c r="J350">
        <v>88.41</v>
      </c>
      <c r="K350">
        <v>25.55</v>
      </c>
      <c r="L350" t="s">
        <v>17</v>
      </c>
      <c r="M350">
        <v>0.22420000000000001</v>
      </c>
    </row>
    <row r="351" spans="1:13" x14ac:dyDescent="0.3">
      <c r="A351" t="s">
        <v>388</v>
      </c>
      <c r="B351" s="2">
        <v>45806</v>
      </c>
      <c r="C351" t="s">
        <v>14</v>
      </c>
      <c r="D351" t="s">
        <v>48</v>
      </c>
      <c r="E351" t="s">
        <v>16</v>
      </c>
      <c r="F351">
        <v>4</v>
      </c>
      <c r="G351">
        <v>1147.3</v>
      </c>
      <c r="H351">
        <v>0</v>
      </c>
      <c r="I351">
        <v>4589.2</v>
      </c>
      <c r="J351">
        <v>3493.35</v>
      </c>
      <c r="K351">
        <v>1095.8499999999999</v>
      </c>
      <c r="L351" t="s">
        <v>33</v>
      </c>
      <c r="M351">
        <v>0.23880000000000001</v>
      </c>
    </row>
    <row r="352" spans="1:13" x14ac:dyDescent="0.3">
      <c r="A352" t="s">
        <v>389</v>
      </c>
      <c r="B352" s="2">
        <v>45860</v>
      </c>
      <c r="C352" t="s">
        <v>24</v>
      </c>
      <c r="D352" t="s">
        <v>72</v>
      </c>
      <c r="E352" t="s">
        <v>16</v>
      </c>
      <c r="F352">
        <v>6</v>
      </c>
      <c r="G352">
        <v>279.41000000000003</v>
      </c>
      <c r="H352">
        <v>0.1</v>
      </c>
      <c r="I352">
        <v>1508.81</v>
      </c>
      <c r="J352">
        <v>1112.72</v>
      </c>
      <c r="K352">
        <v>396.09</v>
      </c>
      <c r="L352" t="s">
        <v>26</v>
      </c>
      <c r="M352">
        <v>0.26250000000000001</v>
      </c>
    </row>
    <row r="353" spans="1:13" x14ac:dyDescent="0.3">
      <c r="A353" t="s">
        <v>390</v>
      </c>
      <c r="B353" s="2">
        <v>45915</v>
      </c>
      <c r="C353" t="s">
        <v>32</v>
      </c>
      <c r="D353" t="s">
        <v>25</v>
      </c>
      <c r="E353" t="s">
        <v>21</v>
      </c>
      <c r="F353">
        <v>6</v>
      </c>
      <c r="G353">
        <v>158.01</v>
      </c>
      <c r="H353">
        <v>0.15</v>
      </c>
      <c r="I353">
        <v>805.85</v>
      </c>
      <c r="J353">
        <v>475.74</v>
      </c>
      <c r="K353">
        <v>330.11</v>
      </c>
      <c r="L353" t="s">
        <v>38</v>
      </c>
      <c r="M353">
        <v>0.40960000000000002</v>
      </c>
    </row>
    <row r="354" spans="1:13" x14ac:dyDescent="0.3">
      <c r="A354" t="s">
        <v>391</v>
      </c>
      <c r="B354" s="2">
        <v>45745</v>
      </c>
      <c r="C354" t="s">
        <v>24</v>
      </c>
      <c r="D354" t="s">
        <v>28</v>
      </c>
      <c r="E354" t="s">
        <v>21</v>
      </c>
      <c r="F354">
        <v>7</v>
      </c>
      <c r="G354">
        <v>52</v>
      </c>
      <c r="H354">
        <v>0.15</v>
      </c>
      <c r="I354">
        <v>309.39999999999998</v>
      </c>
      <c r="J354">
        <v>215.72</v>
      </c>
      <c r="K354">
        <v>93.68</v>
      </c>
      <c r="L354" t="s">
        <v>49</v>
      </c>
      <c r="M354">
        <v>0.30280000000000001</v>
      </c>
    </row>
    <row r="355" spans="1:13" x14ac:dyDescent="0.3">
      <c r="A355" t="s">
        <v>392</v>
      </c>
      <c r="B355" s="2">
        <v>45848</v>
      </c>
      <c r="C355" t="s">
        <v>14</v>
      </c>
      <c r="D355" t="s">
        <v>28</v>
      </c>
      <c r="E355" t="s">
        <v>21</v>
      </c>
      <c r="F355">
        <v>6</v>
      </c>
      <c r="G355">
        <v>135.31</v>
      </c>
      <c r="H355">
        <v>0.05</v>
      </c>
      <c r="I355">
        <v>771.27</v>
      </c>
      <c r="J355">
        <v>541.44000000000005</v>
      </c>
      <c r="K355">
        <v>229.83</v>
      </c>
      <c r="L355" t="s">
        <v>26</v>
      </c>
      <c r="M355">
        <v>0.29799999999999999</v>
      </c>
    </row>
    <row r="356" spans="1:13" x14ac:dyDescent="0.3">
      <c r="A356" t="s">
        <v>393</v>
      </c>
      <c r="B356" s="2">
        <v>45785</v>
      </c>
      <c r="C356" t="s">
        <v>32</v>
      </c>
      <c r="D356" t="s">
        <v>20</v>
      </c>
      <c r="E356" t="s">
        <v>21</v>
      </c>
      <c r="F356">
        <v>7</v>
      </c>
      <c r="G356">
        <v>90.44</v>
      </c>
      <c r="H356">
        <v>0.1</v>
      </c>
      <c r="I356">
        <v>569.77</v>
      </c>
      <c r="J356">
        <v>417.48</v>
      </c>
      <c r="K356">
        <v>152.29</v>
      </c>
      <c r="L356" t="s">
        <v>33</v>
      </c>
      <c r="M356">
        <v>0.26729999999999998</v>
      </c>
    </row>
    <row r="357" spans="1:13" x14ac:dyDescent="0.3">
      <c r="A357" t="s">
        <v>394</v>
      </c>
      <c r="B357" s="2">
        <v>45660</v>
      </c>
      <c r="C357" t="s">
        <v>32</v>
      </c>
      <c r="D357" t="s">
        <v>15</v>
      </c>
      <c r="E357" t="s">
        <v>16</v>
      </c>
      <c r="F357">
        <v>2</v>
      </c>
      <c r="G357">
        <v>442.28</v>
      </c>
      <c r="H357">
        <v>0.1</v>
      </c>
      <c r="I357">
        <v>796.1</v>
      </c>
      <c r="J357">
        <v>603.45000000000005</v>
      </c>
      <c r="K357">
        <v>192.65</v>
      </c>
      <c r="L357" t="s">
        <v>65</v>
      </c>
      <c r="M357">
        <v>0.24199999999999999</v>
      </c>
    </row>
    <row r="358" spans="1:13" x14ac:dyDescent="0.3">
      <c r="A358" t="s">
        <v>395</v>
      </c>
      <c r="B358" s="2">
        <v>45667</v>
      </c>
      <c r="C358" t="s">
        <v>32</v>
      </c>
      <c r="D358" t="s">
        <v>41</v>
      </c>
      <c r="E358" t="s">
        <v>21</v>
      </c>
      <c r="F358">
        <v>3</v>
      </c>
      <c r="G358">
        <v>37.29</v>
      </c>
      <c r="H358">
        <v>0.1</v>
      </c>
      <c r="I358">
        <v>100.68</v>
      </c>
      <c r="J358">
        <v>63.32</v>
      </c>
      <c r="K358">
        <v>37.36</v>
      </c>
      <c r="L358" t="s">
        <v>65</v>
      </c>
      <c r="M358">
        <v>0.37109999999999999</v>
      </c>
    </row>
    <row r="359" spans="1:13" x14ac:dyDescent="0.3">
      <c r="A359" t="s">
        <v>396</v>
      </c>
      <c r="B359" s="2">
        <v>45670</v>
      </c>
      <c r="C359" t="s">
        <v>32</v>
      </c>
      <c r="D359" t="s">
        <v>72</v>
      </c>
      <c r="E359" t="s">
        <v>16</v>
      </c>
      <c r="F359">
        <v>6</v>
      </c>
      <c r="G359">
        <v>250.16</v>
      </c>
      <c r="H359">
        <v>0</v>
      </c>
      <c r="I359">
        <v>1500.96</v>
      </c>
      <c r="J359">
        <v>998.58</v>
      </c>
      <c r="K359">
        <v>502.38</v>
      </c>
      <c r="L359" t="s">
        <v>65</v>
      </c>
      <c r="M359">
        <v>0.3347</v>
      </c>
    </row>
    <row r="360" spans="1:13" x14ac:dyDescent="0.3">
      <c r="A360" t="s">
        <v>397</v>
      </c>
      <c r="B360" s="2">
        <v>45866</v>
      </c>
      <c r="C360" t="s">
        <v>14</v>
      </c>
      <c r="D360" t="s">
        <v>41</v>
      </c>
      <c r="E360" t="s">
        <v>21</v>
      </c>
      <c r="F360">
        <v>4</v>
      </c>
      <c r="G360">
        <v>12.33</v>
      </c>
      <c r="H360">
        <v>0.1</v>
      </c>
      <c r="I360">
        <v>44.39</v>
      </c>
      <c r="J360">
        <v>26.12</v>
      </c>
      <c r="K360">
        <v>18.27</v>
      </c>
      <c r="L360" t="s">
        <v>26</v>
      </c>
      <c r="M360">
        <v>0.41160000000000002</v>
      </c>
    </row>
    <row r="361" spans="1:13" x14ac:dyDescent="0.3">
      <c r="A361" t="s">
        <v>398</v>
      </c>
      <c r="B361" s="2">
        <v>45900</v>
      </c>
      <c r="C361" t="s">
        <v>19</v>
      </c>
      <c r="D361" t="s">
        <v>25</v>
      </c>
      <c r="E361" t="s">
        <v>21</v>
      </c>
      <c r="F361">
        <v>1</v>
      </c>
      <c r="G361">
        <v>154.55000000000001</v>
      </c>
      <c r="H361">
        <v>0</v>
      </c>
      <c r="I361">
        <v>154.55000000000001</v>
      </c>
      <c r="J361">
        <v>101.77</v>
      </c>
      <c r="K361">
        <v>52.78</v>
      </c>
      <c r="L361" t="s">
        <v>44</v>
      </c>
      <c r="M361">
        <v>0.34150000000000003</v>
      </c>
    </row>
    <row r="362" spans="1:13" x14ac:dyDescent="0.3">
      <c r="A362" t="s">
        <v>399</v>
      </c>
      <c r="B362" s="2">
        <v>45789</v>
      </c>
      <c r="C362" t="s">
        <v>24</v>
      </c>
      <c r="D362" t="s">
        <v>15</v>
      </c>
      <c r="E362" t="s">
        <v>16</v>
      </c>
      <c r="F362">
        <v>6</v>
      </c>
      <c r="G362">
        <v>592.03</v>
      </c>
      <c r="H362">
        <v>0.15</v>
      </c>
      <c r="I362">
        <v>3019.35</v>
      </c>
      <c r="J362">
        <v>2018.12</v>
      </c>
      <c r="K362">
        <v>1001.23</v>
      </c>
      <c r="L362" t="s">
        <v>33</v>
      </c>
      <c r="M362">
        <v>0.33160000000000001</v>
      </c>
    </row>
    <row r="363" spans="1:13" x14ac:dyDescent="0.3">
      <c r="A363" t="s">
        <v>400</v>
      </c>
      <c r="B363" s="2">
        <v>46016</v>
      </c>
      <c r="C363" t="s">
        <v>32</v>
      </c>
      <c r="D363" t="s">
        <v>37</v>
      </c>
      <c r="E363" t="s">
        <v>16</v>
      </c>
      <c r="F363">
        <v>6</v>
      </c>
      <c r="G363">
        <v>323.83999999999997</v>
      </c>
      <c r="H363">
        <v>0</v>
      </c>
      <c r="I363">
        <v>1943.04</v>
      </c>
      <c r="J363">
        <v>1319.38</v>
      </c>
      <c r="K363">
        <v>623.66</v>
      </c>
      <c r="L363" t="s">
        <v>46</v>
      </c>
      <c r="M363">
        <v>0.32100000000000001</v>
      </c>
    </row>
    <row r="364" spans="1:13" x14ac:dyDescent="0.3">
      <c r="A364" t="s">
        <v>401</v>
      </c>
      <c r="B364" s="2">
        <v>45930</v>
      </c>
      <c r="C364" t="s">
        <v>19</v>
      </c>
      <c r="D364" t="s">
        <v>37</v>
      </c>
      <c r="E364" t="s">
        <v>16</v>
      </c>
      <c r="F364">
        <v>6</v>
      </c>
      <c r="G364">
        <v>191.73</v>
      </c>
      <c r="H364">
        <v>0</v>
      </c>
      <c r="I364">
        <v>1150.3800000000001</v>
      </c>
      <c r="J364">
        <v>774.25</v>
      </c>
      <c r="K364">
        <v>376.13</v>
      </c>
      <c r="L364" t="s">
        <v>38</v>
      </c>
      <c r="M364">
        <v>0.32700000000000001</v>
      </c>
    </row>
    <row r="365" spans="1:13" x14ac:dyDescent="0.3">
      <c r="A365" t="s">
        <v>402</v>
      </c>
      <c r="B365" s="2">
        <v>45843</v>
      </c>
      <c r="C365" t="s">
        <v>19</v>
      </c>
      <c r="D365" t="s">
        <v>15</v>
      </c>
      <c r="E365" t="s">
        <v>16</v>
      </c>
      <c r="F365">
        <v>4</v>
      </c>
      <c r="G365">
        <v>419.75</v>
      </c>
      <c r="H365">
        <v>0.1</v>
      </c>
      <c r="I365">
        <v>1511.1</v>
      </c>
      <c r="J365">
        <v>914.2</v>
      </c>
      <c r="K365">
        <v>596.9</v>
      </c>
      <c r="L365" t="s">
        <v>26</v>
      </c>
      <c r="M365">
        <v>0.39500000000000002</v>
      </c>
    </row>
    <row r="366" spans="1:13" x14ac:dyDescent="0.3">
      <c r="A366" t="s">
        <v>403</v>
      </c>
      <c r="B366" s="2">
        <v>45816</v>
      </c>
      <c r="C366" t="s">
        <v>24</v>
      </c>
      <c r="D366" t="s">
        <v>41</v>
      </c>
      <c r="E366" t="s">
        <v>21</v>
      </c>
      <c r="F366">
        <v>4</v>
      </c>
      <c r="G366">
        <v>15.33</v>
      </c>
      <c r="H366">
        <v>0.05</v>
      </c>
      <c r="I366">
        <v>58.25</v>
      </c>
      <c r="J366">
        <v>42.16</v>
      </c>
      <c r="K366">
        <v>16.09</v>
      </c>
      <c r="L366" t="s">
        <v>22</v>
      </c>
      <c r="M366">
        <v>0.2762</v>
      </c>
    </row>
    <row r="367" spans="1:13" x14ac:dyDescent="0.3">
      <c r="A367" t="s">
        <v>404</v>
      </c>
      <c r="B367" s="2">
        <v>45766</v>
      </c>
      <c r="C367" t="s">
        <v>24</v>
      </c>
      <c r="D367" t="s">
        <v>41</v>
      </c>
      <c r="E367" t="s">
        <v>21</v>
      </c>
      <c r="F367">
        <v>3</v>
      </c>
      <c r="G367">
        <v>43.39</v>
      </c>
      <c r="H367">
        <v>0</v>
      </c>
      <c r="I367">
        <v>130.16999999999999</v>
      </c>
      <c r="J367">
        <v>77.33</v>
      </c>
      <c r="K367">
        <v>52.84</v>
      </c>
      <c r="L367" t="s">
        <v>17</v>
      </c>
      <c r="M367">
        <v>0.40589999999999998</v>
      </c>
    </row>
    <row r="368" spans="1:13" x14ac:dyDescent="0.3">
      <c r="A368" t="s">
        <v>405</v>
      </c>
      <c r="B368" s="2">
        <v>45830</v>
      </c>
      <c r="C368" t="s">
        <v>24</v>
      </c>
      <c r="D368" t="s">
        <v>25</v>
      </c>
      <c r="E368" t="s">
        <v>21</v>
      </c>
      <c r="F368">
        <v>2</v>
      </c>
      <c r="G368">
        <v>122</v>
      </c>
      <c r="H368">
        <v>0.1</v>
      </c>
      <c r="I368">
        <v>219.6</v>
      </c>
      <c r="J368">
        <v>154.63</v>
      </c>
      <c r="K368">
        <v>64.97</v>
      </c>
      <c r="L368" t="s">
        <v>22</v>
      </c>
      <c r="M368">
        <v>0.2959</v>
      </c>
    </row>
    <row r="369" spans="1:13" x14ac:dyDescent="0.3">
      <c r="A369" t="s">
        <v>406</v>
      </c>
      <c r="B369" s="2">
        <v>45770</v>
      </c>
      <c r="C369" t="s">
        <v>19</v>
      </c>
      <c r="D369" t="s">
        <v>25</v>
      </c>
      <c r="E369" t="s">
        <v>21</v>
      </c>
      <c r="F369">
        <v>7</v>
      </c>
      <c r="G369">
        <v>125.62</v>
      </c>
      <c r="H369">
        <v>0</v>
      </c>
      <c r="I369">
        <v>879.34</v>
      </c>
      <c r="J369">
        <v>588.4</v>
      </c>
      <c r="K369">
        <v>290.94</v>
      </c>
      <c r="L369" t="s">
        <v>17</v>
      </c>
      <c r="M369">
        <v>0.33090000000000003</v>
      </c>
    </row>
    <row r="370" spans="1:13" x14ac:dyDescent="0.3">
      <c r="A370" t="s">
        <v>407</v>
      </c>
      <c r="B370" s="2">
        <v>45818</v>
      </c>
      <c r="C370" t="s">
        <v>32</v>
      </c>
      <c r="D370" t="s">
        <v>41</v>
      </c>
      <c r="E370" t="s">
        <v>21</v>
      </c>
      <c r="F370">
        <v>3</v>
      </c>
      <c r="G370">
        <v>60.3</v>
      </c>
      <c r="H370">
        <v>0.1</v>
      </c>
      <c r="I370">
        <v>162.81</v>
      </c>
      <c r="J370">
        <v>106.13</v>
      </c>
      <c r="K370">
        <v>56.68</v>
      </c>
      <c r="L370" t="s">
        <v>22</v>
      </c>
      <c r="M370">
        <v>0.34810000000000002</v>
      </c>
    </row>
    <row r="371" spans="1:13" x14ac:dyDescent="0.3">
      <c r="A371" t="s">
        <v>408</v>
      </c>
      <c r="B371" s="2">
        <v>45704</v>
      </c>
      <c r="C371" t="s">
        <v>14</v>
      </c>
      <c r="D371" t="s">
        <v>25</v>
      </c>
      <c r="E371" t="s">
        <v>21</v>
      </c>
      <c r="F371">
        <v>4</v>
      </c>
      <c r="G371">
        <v>94.5</v>
      </c>
      <c r="H371">
        <v>0</v>
      </c>
      <c r="I371">
        <v>378</v>
      </c>
      <c r="J371">
        <v>281.47000000000003</v>
      </c>
      <c r="K371">
        <v>96.53</v>
      </c>
      <c r="L371" t="s">
        <v>29</v>
      </c>
      <c r="M371">
        <v>0.25540000000000002</v>
      </c>
    </row>
    <row r="372" spans="1:13" x14ac:dyDescent="0.3">
      <c r="A372" t="s">
        <v>409</v>
      </c>
      <c r="B372" s="2">
        <v>45718</v>
      </c>
      <c r="C372" t="s">
        <v>14</v>
      </c>
      <c r="D372" t="s">
        <v>41</v>
      </c>
      <c r="E372" t="s">
        <v>21</v>
      </c>
      <c r="F372">
        <v>3</v>
      </c>
      <c r="G372">
        <v>58.62</v>
      </c>
      <c r="H372">
        <v>0.15</v>
      </c>
      <c r="I372">
        <v>149.47999999999999</v>
      </c>
      <c r="J372">
        <v>93.98</v>
      </c>
      <c r="K372">
        <v>55.5</v>
      </c>
      <c r="L372" t="s">
        <v>49</v>
      </c>
      <c r="M372">
        <v>0.37130000000000002</v>
      </c>
    </row>
    <row r="373" spans="1:13" x14ac:dyDescent="0.3">
      <c r="A373" t="s">
        <v>410</v>
      </c>
      <c r="B373" s="2">
        <v>45855</v>
      </c>
      <c r="C373" t="s">
        <v>32</v>
      </c>
      <c r="D373" t="s">
        <v>37</v>
      </c>
      <c r="E373" t="s">
        <v>16</v>
      </c>
      <c r="F373">
        <v>3</v>
      </c>
      <c r="G373">
        <v>148.12</v>
      </c>
      <c r="H373">
        <v>0</v>
      </c>
      <c r="I373">
        <v>444.36</v>
      </c>
      <c r="J373">
        <v>346.43</v>
      </c>
      <c r="K373">
        <v>97.93</v>
      </c>
      <c r="L373" t="s">
        <v>26</v>
      </c>
      <c r="M373">
        <v>0.22040000000000001</v>
      </c>
    </row>
    <row r="374" spans="1:13" x14ac:dyDescent="0.3">
      <c r="A374" t="s">
        <v>411</v>
      </c>
      <c r="B374" s="2">
        <v>45726</v>
      </c>
      <c r="C374" t="s">
        <v>32</v>
      </c>
      <c r="D374" t="s">
        <v>20</v>
      </c>
      <c r="E374" t="s">
        <v>21</v>
      </c>
      <c r="F374">
        <v>5</v>
      </c>
      <c r="G374">
        <v>99.35</v>
      </c>
      <c r="H374">
        <v>0</v>
      </c>
      <c r="I374">
        <v>496.75</v>
      </c>
      <c r="J374">
        <v>389.78</v>
      </c>
      <c r="K374">
        <v>106.97</v>
      </c>
      <c r="L374" t="s">
        <v>49</v>
      </c>
      <c r="M374">
        <v>0.21529999999999999</v>
      </c>
    </row>
    <row r="375" spans="1:13" x14ac:dyDescent="0.3">
      <c r="A375" t="s">
        <v>412</v>
      </c>
      <c r="B375" s="2">
        <v>46013</v>
      </c>
      <c r="C375" t="s">
        <v>14</v>
      </c>
      <c r="D375" t="s">
        <v>72</v>
      </c>
      <c r="E375" t="s">
        <v>16</v>
      </c>
      <c r="F375">
        <v>5</v>
      </c>
      <c r="G375">
        <v>215.04</v>
      </c>
      <c r="H375">
        <v>0</v>
      </c>
      <c r="I375">
        <v>1075.2</v>
      </c>
      <c r="J375">
        <v>865.5</v>
      </c>
      <c r="K375">
        <v>209.7</v>
      </c>
      <c r="L375" t="s">
        <v>46</v>
      </c>
      <c r="M375">
        <v>0.19500000000000001</v>
      </c>
    </row>
    <row r="376" spans="1:13" x14ac:dyDescent="0.3">
      <c r="A376" t="s">
        <v>413</v>
      </c>
      <c r="B376" s="2">
        <v>45937</v>
      </c>
      <c r="C376" t="s">
        <v>32</v>
      </c>
      <c r="D376" t="s">
        <v>37</v>
      </c>
      <c r="E376" t="s">
        <v>16</v>
      </c>
      <c r="F376">
        <v>4</v>
      </c>
      <c r="G376">
        <v>155.44999999999999</v>
      </c>
      <c r="H376">
        <v>0.15</v>
      </c>
      <c r="I376">
        <v>528.53</v>
      </c>
      <c r="J376">
        <v>421.9</v>
      </c>
      <c r="K376">
        <v>106.63</v>
      </c>
      <c r="L376" t="s">
        <v>58</v>
      </c>
      <c r="M376">
        <v>0.20169999999999999</v>
      </c>
    </row>
    <row r="377" spans="1:13" x14ac:dyDescent="0.3">
      <c r="A377" t="s">
        <v>414</v>
      </c>
      <c r="B377" s="2">
        <v>45714</v>
      </c>
      <c r="C377" t="s">
        <v>19</v>
      </c>
      <c r="D377" t="s">
        <v>41</v>
      </c>
      <c r="E377" t="s">
        <v>21</v>
      </c>
      <c r="F377">
        <v>6</v>
      </c>
      <c r="G377">
        <v>15.61</v>
      </c>
      <c r="H377">
        <v>0</v>
      </c>
      <c r="I377">
        <v>93.66</v>
      </c>
      <c r="J377">
        <v>57.28</v>
      </c>
      <c r="K377">
        <v>36.380000000000003</v>
      </c>
      <c r="L377" t="s">
        <v>29</v>
      </c>
      <c r="M377">
        <v>0.38840000000000002</v>
      </c>
    </row>
    <row r="378" spans="1:13" x14ac:dyDescent="0.3">
      <c r="A378" t="s">
        <v>415</v>
      </c>
      <c r="B378" s="2">
        <v>45999</v>
      </c>
      <c r="C378" t="s">
        <v>24</v>
      </c>
      <c r="D378" t="s">
        <v>41</v>
      </c>
      <c r="E378" t="s">
        <v>21</v>
      </c>
      <c r="F378">
        <v>1</v>
      </c>
      <c r="G378">
        <v>72.27</v>
      </c>
      <c r="H378">
        <v>0</v>
      </c>
      <c r="I378">
        <v>72.27</v>
      </c>
      <c r="J378">
        <v>42.91</v>
      </c>
      <c r="K378">
        <v>29.36</v>
      </c>
      <c r="L378" t="s">
        <v>46</v>
      </c>
      <c r="M378">
        <v>0.40629999999999999</v>
      </c>
    </row>
    <row r="379" spans="1:13" x14ac:dyDescent="0.3">
      <c r="A379" t="s">
        <v>416</v>
      </c>
      <c r="B379" s="2">
        <v>45839</v>
      </c>
      <c r="C379" t="s">
        <v>19</v>
      </c>
      <c r="D379" t="s">
        <v>15</v>
      </c>
      <c r="E379" t="s">
        <v>16</v>
      </c>
      <c r="F379">
        <v>3</v>
      </c>
      <c r="G379">
        <v>309.54000000000002</v>
      </c>
      <c r="H379">
        <v>0.1</v>
      </c>
      <c r="I379">
        <v>835.76</v>
      </c>
      <c r="J379">
        <v>680.28</v>
      </c>
      <c r="K379">
        <v>155.47999999999999</v>
      </c>
      <c r="L379" t="s">
        <v>26</v>
      </c>
      <c r="M379">
        <v>0.186</v>
      </c>
    </row>
    <row r="380" spans="1:13" x14ac:dyDescent="0.3">
      <c r="A380" t="s">
        <v>417</v>
      </c>
      <c r="B380" s="2">
        <v>45841</v>
      </c>
      <c r="C380" t="s">
        <v>19</v>
      </c>
      <c r="D380" t="s">
        <v>37</v>
      </c>
      <c r="E380" t="s">
        <v>16</v>
      </c>
      <c r="F380">
        <v>1</v>
      </c>
      <c r="G380">
        <v>380.78</v>
      </c>
      <c r="H380">
        <v>0</v>
      </c>
      <c r="I380">
        <v>380.78</v>
      </c>
      <c r="J380">
        <v>265.41000000000003</v>
      </c>
      <c r="K380">
        <v>115.37</v>
      </c>
      <c r="L380" t="s">
        <v>26</v>
      </c>
      <c r="M380">
        <v>0.30299999999999999</v>
      </c>
    </row>
    <row r="381" spans="1:13" x14ac:dyDescent="0.3">
      <c r="A381" t="s">
        <v>418</v>
      </c>
      <c r="B381" s="2">
        <v>45664</v>
      </c>
      <c r="C381" t="s">
        <v>14</v>
      </c>
      <c r="D381" t="s">
        <v>41</v>
      </c>
      <c r="E381" t="s">
        <v>21</v>
      </c>
      <c r="F381">
        <v>2</v>
      </c>
      <c r="G381">
        <v>69.11</v>
      </c>
      <c r="H381">
        <v>0</v>
      </c>
      <c r="I381">
        <v>138.22</v>
      </c>
      <c r="J381">
        <v>97.83</v>
      </c>
      <c r="K381">
        <v>40.39</v>
      </c>
      <c r="L381" t="s">
        <v>65</v>
      </c>
      <c r="M381">
        <v>0.29220000000000002</v>
      </c>
    </row>
    <row r="382" spans="1:13" x14ac:dyDescent="0.3">
      <c r="A382" t="s">
        <v>419</v>
      </c>
      <c r="B382" s="2">
        <v>45800</v>
      </c>
      <c r="C382" t="s">
        <v>24</v>
      </c>
      <c r="D382" t="s">
        <v>15</v>
      </c>
      <c r="E382" t="s">
        <v>16</v>
      </c>
      <c r="F382">
        <v>7</v>
      </c>
      <c r="G382">
        <v>190.26</v>
      </c>
      <c r="H382">
        <v>0.05</v>
      </c>
      <c r="I382">
        <v>1265.23</v>
      </c>
      <c r="J382">
        <v>1026.3699999999999</v>
      </c>
      <c r="K382">
        <v>238.86</v>
      </c>
      <c r="L382" t="s">
        <v>33</v>
      </c>
      <c r="M382">
        <v>0.1888</v>
      </c>
    </row>
    <row r="383" spans="1:13" x14ac:dyDescent="0.3">
      <c r="A383" t="s">
        <v>420</v>
      </c>
      <c r="B383" s="2">
        <v>45970</v>
      </c>
      <c r="C383" t="s">
        <v>32</v>
      </c>
      <c r="D383" t="s">
        <v>15</v>
      </c>
      <c r="E383" t="s">
        <v>16</v>
      </c>
      <c r="F383">
        <v>5</v>
      </c>
      <c r="G383">
        <v>204.56</v>
      </c>
      <c r="H383">
        <v>0</v>
      </c>
      <c r="I383">
        <v>1022.8</v>
      </c>
      <c r="J383">
        <v>657.09</v>
      </c>
      <c r="K383">
        <v>365.71</v>
      </c>
      <c r="L383" t="s">
        <v>35</v>
      </c>
      <c r="M383">
        <v>0.35759999999999997</v>
      </c>
    </row>
    <row r="384" spans="1:13" x14ac:dyDescent="0.3">
      <c r="A384" t="s">
        <v>421</v>
      </c>
      <c r="B384" s="2">
        <v>45962</v>
      </c>
      <c r="C384" t="s">
        <v>19</v>
      </c>
      <c r="D384" t="s">
        <v>37</v>
      </c>
      <c r="E384" t="s">
        <v>16</v>
      </c>
      <c r="F384">
        <v>5</v>
      </c>
      <c r="G384">
        <v>219.52</v>
      </c>
      <c r="H384">
        <v>0.05</v>
      </c>
      <c r="I384">
        <v>1042.72</v>
      </c>
      <c r="J384">
        <v>654.35</v>
      </c>
      <c r="K384">
        <v>388.37</v>
      </c>
      <c r="L384" t="s">
        <v>35</v>
      </c>
      <c r="M384">
        <v>0.3725</v>
      </c>
    </row>
    <row r="385" spans="1:13" x14ac:dyDescent="0.3">
      <c r="A385" t="s">
        <v>422</v>
      </c>
      <c r="B385" s="2">
        <v>45818</v>
      </c>
      <c r="C385" t="s">
        <v>14</v>
      </c>
      <c r="D385" t="s">
        <v>20</v>
      </c>
      <c r="E385" t="s">
        <v>21</v>
      </c>
      <c r="F385">
        <v>1</v>
      </c>
      <c r="G385">
        <v>114.97</v>
      </c>
      <c r="H385">
        <v>0.15</v>
      </c>
      <c r="I385">
        <v>97.72</v>
      </c>
      <c r="J385">
        <v>60.97</v>
      </c>
      <c r="K385">
        <v>36.75</v>
      </c>
      <c r="L385" t="s">
        <v>22</v>
      </c>
      <c r="M385">
        <v>0.37609999999999999</v>
      </c>
    </row>
    <row r="386" spans="1:13" x14ac:dyDescent="0.3">
      <c r="A386" t="s">
        <v>423</v>
      </c>
      <c r="B386" s="2">
        <v>45946</v>
      </c>
      <c r="C386" t="s">
        <v>32</v>
      </c>
      <c r="D386" t="s">
        <v>28</v>
      </c>
      <c r="E386" t="s">
        <v>21</v>
      </c>
      <c r="F386">
        <v>4</v>
      </c>
      <c r="G386">
        <v>112.33</v>
      </c>
      <c r="H386">
        <v>0</v>
      </c>
      <c r="I386">
        <v>449.32</v>
      </c>
      <c r="J386">
        <v>334.34</v>
      </c>
      <c r="K386">
        <v>114.98</v>
      </c>
      <c r="L386" t="s">
        <v>58</v>
      </c>
      <c r="M386">
        <v>0.25590000000000002</v>
      </c>
    </row>
    <row r="387" spans="1:13" x14ac:dyDescent="0.3">
      <c r="A387" t="s">
        <v>424</v>
      </c>
      <c r="B387" s="2">
        <v>45743</v>
      </c>
      <c r="C387" t="s">
        <v>32</v>
      </c>
      <c r="D387" t="s">
        <v>72</v>
      </c>
      <c r="E387" t="s">
        <v>16</v>
      </c>
      <c r="F387">
        <v>5</v>
      </c>
      <c r="G387">
        <v>149.13</v>
      </c>
      <c r="H387">
        <v>0</v>
      </c>
      <c r="I387">
        <v>745.65</v>
      </c>
      <c r="J387">
        <v>529.57000000000005</v>
      </c>
      <c r="K387">
        <v>216.08</v>
      </c>
      <c r="L387" t="s">
        <v>49</v>
      </c>
      <c r="M387">
        <v>0.2898</v>
      </c>
    </row>
    <row r="388" spans="1:13" x14ac:dyDescent="0.3">
      <c r="A388" t="s">
        <v>425</v>
      </c>
      <c r="B388" s="2">
        <v>45998</v>
      </c>
      <c r="C388" t="s">
        <v>32</v>
      </c>
      <c r="D388" t="s">
        <v>48</v>
      </c>
      <c r="E388" t="s">
        <v>16</v>
      </c>
      <c r="F388">
        <v>2</v>
      </c>
      <c r="G388">
        <v>603.12</v>
      </c>
      <c r="H388">
        <v>0.05</v>
      </c>
      <c r="I388">
        <v>1145.93</v>
      </c>
      <c r="J388">
        <v>797.94</v>
      </c>
      <c r="K388">
        <v>347.99</v>
      </c>
      <c r="L388" t="s">
        <v>46</v>
      </c>
      <c r="M388">
        <v>0.30370000000000003</v>
      </c>
    </row>
    <row r="389" spans="1:13" x14ac:dyDescent="0.3">
      <c r="A389" t="s">
        <v>426</v>
      </c>
      <c r="B389" s="2">
        <v>45782</v>
      </c>
      <c r="C389" t="s">
        <v>19</v>
      </c>
      <c r="D389" t="s">
        <v>37</v>
      </c>
      <c r="E389" t="s">
        <v>16</v>
      </c>
      <c r="F389">
        <v>6</v>
      </c>
      <c r="G389">
        <v>403.49</v>
      </c>
      <c r="H389">
        <v>0.05</v>
      </c>
      <c r="I389">
        <v>2299.89</v>
      </c>
      <c r="J389">
        <v>1589.11</v>
      </c>
      <c r="K389">
        <v>710.78</v>
      </c>
      <c r="L389" t="s">
        <v>33</v>
      </c>
      <c r="M389">
        <v>0.309</v>
      </c>
    </row>
    <row r="390" spans="1:13" x14ac:dyDescent="0.3">
      <c r="A390" t="s">
        <v>427</v>
      </c>
      <c r="B390" s="2">
        <v>45795</v>
      </c>
      <c r="C390" t="s">
        <v>19</v>
      </c>
      <c r="D390" t="s">
        <v>25</v>
      </c>
      <c r="E390" t="s">
        <v>21</v>
      </c>
      <c r="F390">
        <v>4</v>
      </c>
      <c r="G390">
        <v>38.1</v>
      </c>
      <c r="H390">
        <v>0.05</v>
      </c>
      <c r="I390">
        <v>144.78</v>
      </c>
      <c r="J390">
        <v>111.99</v>
      </c>
      <c r="K390">
        <v>32.79</v>
      </c>
      <c r="L390" t="s">
        <v>33</v>
      </c>
      <c r="M390">
        <v>0.22650000000000001</v>
      </c>
    </row>
    <row r="391" spans="1:13" x14ac:dyDescent="0.3">
      <c r="A391" t="s">
        <v>428</v>
      </c>
      <c r="B391" s="2">
        <v>45677</v>
      </c>
      <c r="C391" t="s">
        <v>14</v>
      </c>
      <c r="D391" t="s">
        <v>72</v>
      </c>
      <c r="E391" t="s">
        <v>16</v>
      </c>
      <c r="F391">
        <v>3</v>
      </c>
      <c r="G391">
        <v>294.43</v>
      </c>
      <c r="H391">
        <v>0</v>
      </c>
      <c r="I391">
        <v>883.29</v>
      </c>
      <c r="J391">
        <v>567.13</v>
      </c>
      <c r="K391">
        <v>316.16000000000003</v>
      </c>
      <c r="L391" t="s">
        <v>65</v>
      </c>
      <c r="M391">
        <v>0.3579</v>
      </c>
    </row>
    <row r="392" spans="1:13" x14ac:dyDescent="0.3">
      <c r="A392" t="s">
        <v>429</v>
      </c>
      <c r="B392" s="2">
        <v>45870</v>
      </c>
      <c r="C392" t="s">
        <v>19</v>
      </c>
      <c r="D392" t="s">
        <v>15</v>
      </c>
      <c r="E392" t="s">
        <v>16</v>
      </c>
      <c r="F392">
        <v>4</v>
      </c>
      <c r="G392">
        <v>535.66999999999996</v>
      </c>
      <c r="H392">
        <v>0.05</v>
      </c>
      <c r="I392">
        <v>2035.55</v>
      </c>
      <c r="J392">
        <v>1280.71</v>
      </c>
      <c r="K392">
        <v>754.84</v>
      </c>
      <c r="L392" t="s">
        <v>44</v>
      </c>
      <c r="M392">
        <v>0.37080000000000002</v>
      </c>
    </row>
    <row r="393" spans="1:13" x14ac:dyDescent="0.3">
      <c r="A393" t="s">
        <v>430</v>
      </c>
      <c r="B393" s="2">
        <v>45715</v>
      </c>
      <c r="C393" t="s">
        <v>24</v>
      </c>
      <c r="D393" t="s">
        <v>25</v>
      </c>
      <c r="E393" t="s">
        <v>21</v>
      </c>
      <c r="F393">
        <v>4</v>
      </c>
      <c r="G393">
        <v>143.18</v>
      </c>
      <c r="H393">
        <v>0</v>
      </c>
      <c r="I393">
        <v>572.72</v>
      </c>
      <c r="J393">
        <v>394.2</v>
      </c>
      <c r="K393">
        <v>178.52</v>
      </c>
      <c r="L393" t="s">
        <v>29</v>
      </c>
      <c r="M393">
        <v>0.31169999999999998</v>
      </c>
    </row>
    <row r="394" spans="1:13" x14ac:dyDescent="0.3">
      <c r="A394" t="s">
        <v>431</v>
      </c>
      <c r="B394" s="2">
        <v>45701</v>
      </c>
      <c r="C394" t="s">
        <v>32</v>
      </c>
      <c r="D394" t="s">
        <v>37</v>
      </c>
      <c r="E394" t="s">
        <v>16</v>
      </c>
      <c r="F394">
        <v>1</v>
      </c>
      <c r="G394">
        <v>148.41999999999999</v>
      </c>
      <c r="H394">
        <v>0</v>
      </c>
      <c r="I394">
        <v>148.41999999999999</v>
      </c>
      <c r="J394">
        <v>102.61</v>
      </c>
      <c r="K394">
        <v>45.81</v>
      </c>
      <c r="L394" t="s">
        <v>29</v>
      </c>
      <c r="M394">
        <v>0.30869999999999997</v>
      </c>
    </row>
    <row r="395" spans="1:13" x14ac:dyDescent="0.3">
      <c r="A395" t="s">
        <v>432</v>
      </c>
      <c r="B395" s="2">
        <v>45835</v>
      </c>
      <c r="C395" t="s">
        <v>19</v>
      </c>
      <c r="D395" t="s">
        <v>37</v>
      </c>
      <c r="E395" t="s">
        <v>16</v>
      </c>
      <c r="F395">
        <v>4</v>
      </c>
      <c r="G395">
        <v>387.49</v>
      </c>
      <c r="H395">
        <v>0</v>
      </c>
      <c r="I395">
        <v>1549.96</v>
      </c>
      <c r="J395">
        <v>1067</v>
      </c>
      <c r="K395">
        <v>482.96</v>
      </c>
      <c r="L395" t="s">
        <v>22</v>
      </c>
      <c r="M395">
        <v>0.31159999999999999</v>
      </c>
    </row>
    <row r="396" spans="1:13" x14ac:dyDescent="0.3">
      <c r="A396" t="s">
        <v>433</v>
      </c>
      <c r="B396" s="2">
        <v>45954</v>
      </c>
      <c r="C396" t="s">
        <v>24</v>
      </c>
      <c r="D396" t="s">
        <v>20</v>
      </c>
      <c r="E396" t="s">
        <v>21</v>
      </c>
      <c r="F396">
        <v>5</v>
      </c>
      <c r="G396">
        <v>116.63</v>
      </c>
      <c r="H396">
        <v>0</v>
      </c>
      <c r="I396">
        <v>583.15</v>
      </c>
      <c r="J396">
        <v>411.47</v>
      </c>
      <c r="K396">
        <v>171.68</v>
      </c>
      <c r="L396" t="s">
        <v>58</v>
      </c>
      <c r="M396">
        <v>0.2944</v>
      </c>
    </row>
    <row r="397" spans="1:13" x14ac:dyDescent="0.3">
      <c r="A397" t="s">
        <v>434</v>
      </c>
      <c r="B397" s="2">
        <v>45895</v>
      </c>
      <c r="C397" t="s">
        <v>24</v>
      </c>
      <c r="D397" t="s">
        <v>28</v>
      </c>
      <c r="E397" t="s">
        <v>21</v>
      </c>
      <c r="F397">
        <v>5</v>
      </c>
      <c r="G397">
        <v>92.78</v>
      </c>
      <c r="H397">
        <v>0.05</v>
      </c>
      <c r="I397">
        <v>440.7</v>
      </c>
      <c r="J397">
        <v>276.32</v>
      </c>
      <c r="K397">
        <v>164.38</v>
      </c>
      <c r="L397" t="s">
        <v>44</v>
      </c>
      <c r="M397">
        <v>0.373</v>
      </c>
    </row>
    <row r="398" spans="1:13" x14ac:dyDescent="0.3">
      <c r="A398" t="s">
        <v>435</v>
      </c>
      <c r="B398" s="2">
        <v>45993</v>
      </c>
      <c r="C398" t="s">
        <v>19</v>
      </c>
      <c r="D398" t="s">
        <v>37</v>
      </c>
      <c r="E398" t="s">
        <v>16</v>
      </c>
      <c r="F398">
        <v>2</v>
      </c>
      <c r="G398">
        <v>278.76</v>
      </c>
      <c r="H398">
        <v>0.05</v>
      </c>
      <c r="I398">
        <v>529.64</v>
      </c>
      <c r="J398">
        <v>328.3</v>
      </c>
      <c r="K398">
        <v>201.34</v>
      </c>
      <c r="L398" t="s">
        <v>46</v>
      </c>
      <c r="M398">
        <v>0.38009999999999999</v>
      </c>
    </row>
    <row r="399" spans="1:13" x14ac:dyDescent="0.3">
      <c r="A399" t="s">
        <v>436</v>
      </c>
      <c r="B399" s="2">
        <v>45877</v>
      </c>
      <c r="C399" t="s">
        <v>32</v>
      </c>
      <c r="D399" t="s">
        <v>28</v>
      </c>
      <c r="E399" t="s">
        <v>21</v>
      </c>
      <c r="F399">
        <v>3</v>
      </c>
      <c r="G399">
        <v>200.98</v>
      </c>
      <c r="H399">
        <v>0</v>
      </c>
      <c r="I399">
        <v>602.94000000000005</v>
      </c>
      <c r="J399">
        <v>423.08</v>
      </c>
      <c r="K399">
        <v>179.86</v>
      </c>
      <c r="L399" t="s">
        <v>44</v>
      </c>
      <c r="M399">
        <v>0.29830000000000001</v>
      </c>
    </row>
    <row r="400" spans="1:13" x14ac:dyDescent="0.3">
      <c r="A400" t="s">
        <v>437</v>
      </c>
      <c r="B400" s="2">
        <v>45903</v>
      </c>
      <c r="C400" t="s">
        <v>19</v>
      </c>
      <c r="D400" t="s">
        <v>15</v>
      </c>
      <c r="E400" t="s">
        <v>16</v>
      </c>
      <c r="F400">
        <v>5</v>
      </c>
      <c r="G400">
        <v>524.34</v>
      </c>
      <c r="H400">
        <v>0.1</v>
      </c>
      <c r="I400">
        <v>2359.5300000000002</v>
      </c>
      <c r="J400">
        <v>1545.87</v>
      </c>
      <c r="K400">
        <v>813.66</v>
      </c>
      <c r="L400" t="s">
        <v>38</v>
      </c>
      <c r="M400">
        <v>0.3448</v>
      </c>
    </row>
    <row r="401" spans="1:13" x14ac:dyDescent="0.3">
      <c r="A401" t="s">
        <v>438</v>
      </c>
      <c r="B401" s="2">
        <v>45720</v>
      </c>
      <c r="C401" t="s">
        <v>32</v>
      </c>
      <c r="D401" t="s">
        <v>72</v>
      </c>
      <c r="E401" t="s">
        <v>16</v>
      </c>
      <c r="F401">
        <v>1</v>
      </c>
      <c r="G401">
        <v>298.94</v>
      </c>
      <c r="H401">
        <v>0.05</v>
      </c>
      <c r="I401">
        <v>283.99</v>
      </c>
      <c r="J401">
        <v>230.63</v>
      </c>
      <c r="K401">
        <v>53.36</v>
      </c>
      <c r="L401" t="s">
        <v>49</v>
      </c>
      <c r="M401">
        <v>0.18790000000000001</v>
      </c>
    </row>
    <row r="402" spans="1:13" x14ac:dyDescent="0.3">
      <c r="A402" t="s">
        <v>439</v>
      </c>
      <c r="B402" s="2">
        <v>45759</v>
      </c>
      <c r="C402" t="s">
        <v>14</v>
      </c>
      <c r="D402" t="s">
        <v>15</v>
      </c>
      <c r="E402" t="s">
        <v>16</v>
      </c>
      <c r="F402">
        <v>5</v>
      </c>
      <c r="G402">
        <v>493.92</v>
      </c>
      <c r="H402">
        <v>0.05</v>
      </c>
      <c r="I402">
        <v>2346.12</v>
      </c>
      <c r="J402">
        <v>1454.19</v>
      </c>
      <c r="K402">
        <v>891.93</v>
      </c>
      <c r="L402" t="s">
        <v>17</v>
      </c>
      <c r="M402">
        <v>0.38019999999999998</v>
      </c>
    </row>
    <row r="403" spans="1:13" x14ac:dyDescent="0.3">
      <c r="A403" t="s">
        <v>440</v>
      </c>
      <c r="B403" s="2">
        <v>46010</v>
      </c>
      <c r="C403" t="s">
        <v>24</v>
      </c>
      <c r="D403" t="s">
        <v>15</v>
      </c>
      <c r="E403" t="s">
        <v>16</v>
      </c>
      <c r="F403">
        <v>3</v>
      </c>
      <c r="G403">
        <v>256.25</v>
      </c>
      <c r="H403">
        <v>0</v>
      </c>
      <c r="I403">
        <v>768.75</v>
      </c>
      <c r="J403">
        <v>549.15</v>
      </c>
      <c r="K403">
        <v>219.6</v>
      </c>
      <c r="L403" t="s">
        <v>46</v>
      </c>
      <c r="M403">
        <v>0.28570000000000001</v>
      </c>
    </row>
    <row r="404" spans="1:13" x14ac:dyDescent="0.3">
      <c r="A404" t="s">
        <v>441</v>
      </c>
      <c r="B404" s="2">
        <v>45846</v>
      </c>
      <c r="C404" t="s">
        <v>24</v>
      </c>
      <c r="D404" t="s">
        <v>48</v>
      </c>
      <c r="E404" t="s">
        <v>16</v>
      </c>
      <c r="F404">
        <v>4</v>
      </c>
      <c r="G404">
        <v>1128.67</v>
      </c>
      <c r="H404">
        <v>0</v>
      </c>
      <c r="I404">
        <v>4514.68</v>
      </c>
      <c r="J404">
        <v>3411.11</v>
      </c>
      <c r="K404">
        <v>1103.57</v>
      </c>
      <c r="L404" t="s">
        <v>26</v>
      </c>
      <c r="M404">
        <v>0.24440000000000001</v>
      </c>
    </row>
    <row r="405" spans="1:13" x14ac:dyDescent="0.3">
      <c r="A405" t="s">
        <v>442</v>
      </c>
      <c r="B405" s="2">
        <v>46021</v>
      </c>
      <c r="C405" t="s">
        <v>24</v>
      </c>
      <c r="D405" t="s">
        <v>28</v>
      </c>
      <c r="E405" t="s">
        <v>21</v>
      </c>
      <c r="F405">
        <v>1</v>
      </c>
      <c r="G405">
        <v>186.53</v>
      </c>
      <c r="H405">
        <v>0.05</v>
      </c>
      <c r="I405">
        <v>177.2</v>
      </c>
      <c r="J405">
        <v>132.97999999999999</v>
      </c>
      <c r="K405">
        <v>44.22</v>
      </c>
      <c r="L405" t="s">
        <v>46</v>
      </c>
      <c r="M405">
        <v>0.2495</v>
      </c>
    </row>
    <row r="406" spans="1:13" x14ac:dyDescent="0.3">
      <c r="A406" t="s">
        <v>443</v>
      </c>
      <c r="B406" s="2">
        <v>45943</v>
      </c>
      <c r="C406" t="s">
        <v>14</v>
      </c>
      <c r="D406" t="s">
        <v>48</v>
      </c>
      <c r="E406" t="s">
        <v>16</v>
      </c>
      <c r="F406">
        <v>5</v>
      </c>
      <c r="G406">
        <v>715.31</v>
      </c>
      <c r="H406">
        <v>0.1</v>
      </c>
      <c r="I406">
        <v>3218.9</v>
      </c>
      <c r="J406">
        <v>2546.66</v>
      </c>
      <c r="K406">
        <v>672.24</v>
      </c>
      <c r="L406" t="s">
        <v>58</v>
      </c>
      <c r="M406">
        <v>0.20880000000000001</v>
      </c>
    </row>
    <row r="407" spans="1:13" x14ac:dyDescent="0.3">
      <c r="A407" t="s">
        <v>444</v>
      </c>
      <c r="B407" s="2">
        <v>45820</v>
      </c>
      <c r="C407" t="s">
        <v>24</v>
      </c>
      <c r="D407" t="s">
        <v>72</v>
      </c>
      <c r="E407" t="s">
        <v>16</v>
      </c>
      <c r="F407">
        <v>5</v>
      </c>
      <c r="G407">
        <v>119.37</v>
      </c>
      <c r="H407">
        <v>0</v>
      </c>
      <c r="I407">
        <v>596.85</v>
      </c>
      <c r="J407">
        <v>449.18</v>
      </c>
      <c r="K407">
        <v>147.66999999999999</v>
      </c>
      <c r="L407" t="s">
        <v>22</v>
      </c>
      <c r="M407">
        <v>0.24740000000000001</v>
      </c>
    </row>
    <row r="408" spans="1:13" x14ac:dyDescent="0.3">
      <c r="A408" t="s">
        <v>445</v>
      </c>
      <c r="B408" s="2">
        <v>45936</v>
      </c>
      <c r="C408" t="s">
        <v>24</v>
      </c>
      <c r="D408" t="s">
        <v>37</v>
      </c>
      <c r="E408" t="s">
        <v>16</v>
      </c>
      <c r="F408">
        <v>1</v>
      </c>
      <c r="G408">
        <v>369.3</v>
      </c>
      <c r="H408">
        <v>0</v>
      </c>
      <c r="I408">
        <v>369.3</v>
      </c>
      <c r="J408">
        <v>268.58999999999997</v>
      </c>
      <c r="K408">
        <v>100.71</v>
      </c>
      <c r="L408" t="s">
        <v>58</v>
      </c>
      <c r="M408">
        <v>0.2727</v>
      </c>
    </row>
    <row r="409" spans="1:13" x14ac:dyDescent="0.3">
      <c r="A409" t="s">
        <v>446</v>
      </c>
      <c r="B409" s="2">
        <v>46004</v>
      </c>
      <c r="C409" t="s">
        <v>19</v>
      </c>
      <c r="D409" t="s">
        <v>72</v>
      </c>
      <c r="E409" t="s">
        <v>16</v>
      </c>
      <c r="F409">
        <v>6</v>
      </c>
      <c r="G409">
        <v>281.89999999999998</v>
      </c>
      <c r="H409">
        <v>0.1</v>
      </c>
      <c r="I409">
        <v>1522.26</v>
      </c>
      <c r="J409">
        <v>1191.1600000000001</v>
      </c>
      <c r="K409">
        <v>331.1</v>
      </c>
      <c r="L409" t="s">
        <v>46</v>
      </c>
      <c r="M409">
        <v>0.2175</v>
      </c>
    </row>
    <row r="410" spans="1:13" x14ac:dyDescent="0.3">
      <c r="A410" t="s">
        <v>447</v>
      </c>
      <c r="B410" s="2">
        <v>45905</v>
      </c>
      <c r="C410" t="s">
        <v>24</v>
      </c>
      <c r="D410" t="s">
        <v>48</v>
      </c>
      <c r="E410" t="s">
        <v>16</v>
      </c>
      <c r="F410">
        <v>4</v>
      </c>
      <c r="G410">
        <v>1030.54</v>
      </c>
      <c r="H410">
        <v>0</v>
      </c>
      <c r="I410">
        <v>4122.16</v>
      </c>
      <c r="J410">
        <v>2702.41</v>
      </c>
      <c r="K410">
        <v>1419.75</v>
      </c>
      <c r="L410" t="s">
        <v>38</v>
      </c>
      <c r="M410">
        <v>0.34439999999999998</v>
      </c>
    </row>
    <row r="411" spans="1:13" x14ac:dyDescent="0.3">
      <c r="A411" t="s">
        <v>448</v>
      </c>
      <c r="B411" s="2">
        <v>45904</v>
      </c>
      <c r="C411" t="s">
        <v>19</v>
      </c>
      <c r="D411" t="s">
        <v>15</v>
      </c>
      <c r="E411" t="s">
        <v>16</v>
      </c>
      <c r="F411">
        <v>7</v>
      </c>
      <c r="G411">
        <v>258.55</v>
      </c>
      <c r="H411">
        <v>0.05</v>
      </c>
      <c r="I411">
        <v>1719.36</v>
      </c>
      <c r="J411">
        <v>1406.47</v>
      </c>
      <c r="K411">
        <v>312.89</v>
      </c>
      <c r="L411" t="s">
        <v>38</v>
      </c>
      <c r="M411">
        <v>0.182</v>
      </c>
    </row>
    <row r="412" spans="1:13" x14ac:dyDescent="0.3">
      <c r="A412" t="s">
        <v>449</v>
      </c>
      <c r="B412" s="2">
        <v>45800</v>
      </c>
      <c r="C412" t="s">
        <v>19</v>
      </c>
      <c r="D412" t="s">
        <v>72</v>
      </c>
      <c r="E412" t="s">
        <v>16</v>
      </c>
      <c r="F412">
        <v>7</v>
      </c>
      <c r="G412">
        <v>178.5</v>
      </c>
      <c r="H412">
        <v>0.1</v>
      </c>
      <c r="I412">
        <v>1124.55</v>
      </c>
      <c r="J412">
        <v>710.41</v>
      </c>
      <c r="K412">
        <v>414.14</v>
      </c>
      <c r="L412" t="s">
        <v>33</v>
      </c>
      <c r="M412">
        <v>0.36830000000000002</v>
      </c>
    </row>
    <row r="413" spans="1:13" x14ac:dyDescent="0.3">
      <c r="A413" t="s">
        <v>450</v>
      </c>
      <c r="B413" s="2">
        <v>45696</v>
      </c>
      <c r="C413" t="s">
        <v>32</v>
      </c>
      <c r="D413" t="s">
        <v>28</v>
      </c>
      <c r="E413" t="s">
        <v>21</v>
      </c>
      <c r="F413">
        <v>3</v>
      </c>
      <c r="G413">
        <v>176.18</v>
      </c>
      <c r="H413">
        <v>0</v>
      </c>
      <c r="I413">
        <v>528.54</v>
      </c>
      <c r="J413">
        <v>402.86</v>
      </c>
      <c r="K413">
        <v>125.68</v>
      </c>
      <c r="L413" t="s">
        <v>29</v>
      </c>
      <c r="M413">
        <v>0.23780000000000001</v>
      </c>
    </row>
    <row r="414" spans="1:13" x14ac:dyDescent="0.3">
      <c r="A414" t="s">
        <v>451</v>
      </c>
      <c r="B414" s="2">
        <v>45908</v>
      </c>
      <c r="C414" t="s">
        <v>19</v>
      </c>
      <c r="D414" t="s">
        <v>20</v>
      </c>
      <c r="E414" t="s">
        <v>21</v>
      </c>
      <c r="F414">
        <v>4</v>
      </c>
      <c r="G414">
        <v>88.17</v>
      </c>
      <c r="H414">
        <v>0</v>
      </c>
      <c r="I414">
        <v>352.68</v>
      </c>
      <c r="J414">
        <v>281.33999999999997</v>
      </c>
      <c r="K414">
        <v>71.34</v>
      </c>
      <c r="L414" t="s">
        <v>38</v>
      </c>
      <c r="M414">
        <v>0.20230000000000001</v>
      </c>
    </row>
    <row r="415" spans="1:13" x14ac:dyDescent="0.3">
      <c r="A415" t="s">
        <v>452</v>
      </c>
      <c r="B415" s="2">
        <v>45757</v>
      </c>
      <c r="C415" t="s">
        <v>32</v>
      </c>
      <c r="D415" t="s">
        <v>15</v>
      </c>
      <c r="E415" t="s">
        <v>16</v>
      </c>
      <c r="F415">
        <v>3</v>
      </c>
      <c r="G415">
        <v>232.17</v>
      </c>
      <c r="H415">
        <v>0</v>
      </c>
      <c r="I415">
        <v>696.51</v>
      </c>
      <c r="J415">
        <v>480.93</v>
      </c>
      <c r="K415">
        <v>215.58</v>
      </c>
      <c r="L415" t="s">
        <v>17</v>
      </c>
      <c r="M415">
        <v>0.3095</v>
      </c>
    </row>
    <row r="416" spans="1:13" x14ac:dyDescent="0.3">
      <c r="A416" t="s">
        <v>453</v>
      </c>
      <c r="B416" s="2">
        <v>45741</v>
      </c>
      <c r="C416" t="s">
        <v>32</v>
      </c>
      <c r="D416" t="s">
        <v>72</v>
      </c>
      <c r="E416" t="s">
        <v>16</v>
      </c>
      <c r="F416">
        <v>6</v>
      </c>
      <c r="G416">
        <v>188.9</v>
      </c>
      <c r="H416">
        <v>0.15</v>
      </c>
      <c r="I416">
        <v>963.39</v>
      </c>
      <c r="J416">
        <v>584.37</v>
      </c>
      <c r="K416">
        <v>379.02</v>
      </c>
      <c r="L416" t="s">
        <v>49</v>
      </c>
      <c r="M416">
        <v>0.39340000000000003</v>
      </c>
    </row>
    <row r="417" spans="1:13" x14ac:dyDescent="0.3">
      <c r="A417" t="s">
        <v>454</v>
      </c>
      <c r="B417" s="2">
        <v>45740</v>
      </c>
      <c r="C417" t="s">
        <v>14</v>
      </c>
      <c r="D417" t="s">
        <v>48</v>
      </c>
      <c r="E417" t="s">
        <v>16</v>
      </c>
      <c r="F417">
        <v>6</v>
      </c>
      <c r="G417">
        <v>1146.75</v>
      </c>
      <c r="H417">
        <v>0</v>
      </c>
      <c r="I417">
        <v>6880.5</v>
      </c>
      <c r="J417">
        <v>5408.09</v>
      </c>
      <c r="K417">
        <v>1472.41</v>
      </c>
      <c r="L417" t="s">
        <v>49</v>
      </c>
      <c r="M417">
        <v>0.214</v>
      </c>
    </row>
    <row r="418" spans="1:13" x14ac:dyDescent="0.3">
      <c r="A418" t="s">
        <v>455</v>
      </c>
      <c r="B418" s="2">
        <v>45984</v>
      </c>
      <c r="C418" t="s">
        <v>14</v>
      </c>
      <c r="D418" t="s">
        <v>20</v>
      </c>
      <c r="E418" t="s">
        <v>21</v>
      </c>
      <c r="F418">
        <v>3</v>
      </c>
      <c r="G418">
        <v>96.63</v>
      </c>
      <c r="H418">
        <v>0.1</v>
      </c>
      <c r="I418">
        <v>260.89999999999998</v>
      </c>
      <c r="J418">
        <v>152.44999999999999</v>
      </c>
      <c r="K418">
        <v>108.45</v>
      </c>
      <c r="L418" t="s">
        <v>35</v>
      </c>
      <c r="M418">
        <v>0.41570000000000001</v>
      </c>
    </row>
    <row r="419" spans="1:13" x14ac:dyDescent="0.3">
      <c r="A419" t="s">
        <v>456</v>
      </c>
      <c r="B419" s="2">
        <v>45777</v>
      </c>
      <c r="C419" t="s">
        <v>14</v>
      </c>
      <c r="D419" t="s">
        <v>15</v>
      </c>
      <c r="E419" t="s">
        <v>16</v>
      </c>
      <c r="F419">
        <v>1</v>
      </c>
      <c r="G419">
        <v>323.23</v>
      </c>
      <c r="H419">
        <v>0.1</v>
      </c>
      <c r="I419">
        <v>290.91000000000003</v>
      </c>
      <c r="J419">
        <v>188.38</v>
      </c>
      <c r="K419">
        <v>102.53</v>
      </c>
      <c r="L419" t="s">
        <v>17</v>
      </c>
      <c r="M419">
        <v>0.35239999999999999</v>
      </c>
    </row>
    <row r="420" spans="1:13" x14ac:dyDescent="0.3">
      <c r="A420" t="s">
        <v>457</v>
      </c>
      <c r="B420" s="2">
        <v>45818</v>
      </c>
      <c r="C420" t="s">
        <v>24</v>
      </c>
      <c r="D420" t="s">
        <v>28</v>
      </c>
      <c r="E420" t="s">
        <v>21</v>
      </c>
      <c r="F420">
        <v>5</v>
      </c>
      <c r="G420">
        <v>47.64</v>
      </c>
      <c r="H420">
        <v>0</v>
      </c>
      <c r="I420">
        <v>238.2</v>
      </c>
      <c r="J420">
        <v>140.79</v>
      </c>
      <c r="K420">
        <v>97.41</v>
      </c>
      <c r="L420" t="s">
        <v>22</v>
      </c>
      <c r="M420">
        <v>0.40889999999999999</v>
      </c>
    </row>
    <row r="421" spans="1:13" x14ac:dyDescent="0.3">
      <c r="A421" t="s">
        <v>458</v>
      </c>
      <c r="B421" s="2">
        <v>45991</v>
      </c>
      <c r="C421" t="s">
        <v>14</v>
      </c>
      <c r="D421" t="s">
        <v>41</v>
      </c>
      <c r="E421" t="s">
        <v>21</v>
      </c>
      <c r="F421">
        <v>1</v>
      </c>
      <c r="G421">
        <v>63.95</v>
      </c>
      <c r="H421">
        <v>0</v>
      </c>
      <c r="I421">
        <v>63.95</v>
      </c>
      <c r="J421">
        <v>40.57</v>
      </c>
      <c r="K421">
        <v>23.38</v>
      </c>
      <c r="L421" t="s">
        <v>35</v>
      </c>
      <c r="M421">
        <v>0.36559999999999998</v>
      </c>
    </row>
    <row r="422" spans="1:13" x14ac:dyDescent="0.3">
      <c r="A422" t="s">
        <v>459</v>
      </c>
      <c r="B422" s="2">
        <v>45782</v>
      </c>
      <c r="C422" t="s">
        <v>14</v>
      </c>
      <c r="D422" t="s">
        <v>48</v>
      </c>
      <c r="E422" t="s">
        <v>16</v>
      </c>
      <c r="F422">
        <v>4</v>
      </c>
      <c r="G422">
        <v>591.91999999999996</v>
      </c>
      <c r="H422">
        <v>0.1</v>
      </c>
      <c r="I422">
        <v>2130.91</v>
      </c>
      <c r="J422">
        <v>1684.58</v>
      </c>
      <c r="K422">
        <v>446.33</v>
      </c>
      <c r="L422" t="s">
        <v>33</v>
      </c>
      <c r="M422">
        <v>0.20949999999999999</v>
      </c>
    </row>
    <row r="423" spans="1:13" x14ac:dyDescent="0.3">
      <c r="A423" t="s">
        <v>460</v>
      </c>
      <c r="B423" s="2">
        <v>45719</v>
      </c>
      <c r="C423" t="s">
        <v>32</v>
      </c>
      <c r="D423" t="s">
        <v>25</v>
      </c>
      <c r="E423" t="s">
        <v>21</v>
      </c>
      <c r="F423">
        <v>1</v>
      </c>
      <c r="G423">
        <v>158.57</v>
      </c>
      <c r="H423">
        <v>0.05</v>
      </c>
      <c r="I423">
        <v>150.63999999999999</v>
      </c>
      <c r="J423">
        <v>106.58</v>
      </c>
      <c r="K423">
        <v>44.06</v>
      </c>
      <c r="L423" t="s">
        <v>49</v>
      </c>
      <c r="M423">
        <v>0.29249999999999998</v>
      </c>
    </row>
    <row r="424" spans="1:13" x14ac:dyDescent="0.3">
      <c r="A424" t="s">
        <v>461</v>
      </c>
      <c r="B424" s="2">
        <v>45912</v>
      </c>
      <c r="C424" t="s">
        <v>32</v>
      </c>
      <c r="D424" t="s">
        <v>72</v>
      </c>
      <c r="E424" t="s">
        <v>16</v>
      </c>
      <c r="F424">
        <v>6</v>
      </c>
      <c r="G424">
        <v>201.59</v>
      </c>
      <c r="H424">
        <v>0</v>
      </c>
      <c r="I424">
        <v>1209.54</v>
      </c>
      <c r="J424">
        <v>930.62</v>
      </c>
      <c r="K424">
        <v>278.92</v>
      </c>
      <c r="L424" t="s">
        <v>38</v>
      </c>
      <c r="M424">
        <v>0.2306</v>
      </c>
    </row>
    <row r="425" spans="1:13" x14ac:dyDescent="0.3">
      <c r="A425" t="s">
        <v>462</v>
      </c>
      <c r="B425" s="2">
        <v>45858</v>
      </c>
      <c r="C425" t="s">
        <v>32</v>
      </c>
      <c r="D425" t="s">
        <v>28</v>
      </c>
      <c r="E425" t="s">
        <v>21</v>
      </c>
      <c r="F425">
        <v>4</v>
      </c>
      <c r="G425">
        <v>75.739999999999995</v>
      </c>
      <c r="H425">
        <v>0.05</v>
      </c>
      <c r="I425">
        <v>287.81</v>
      </c>
      <c r="J425">
        <v>217.88</v>
      </c>
      <c r="K425">
        <v>69.930000000000007</v>
      </c>
      <c r="L425" t="s">
        <v>26</v>
      </c>
      <c r="M425">
        <v>0.24299999999999999</v>
      </c>
    </row>
    <row r="426" spans="1:13" x14ac:dyDescent="0.3">
      <c r="A426" t="s">
        <v>463</v>
      </c>
      <c r="B426" s="2">
        <v>45665</v>
      </c>
      <c r="C426" t="s">
        <v>32</v>
      </c>
      <c r="D426" t="s">
        <v>48</v>
      </c>
      <c r="E426" t="s">
        <v>16</v>
      </c>
      <c r="F426">
        <v>4</v>
      </c>
      <c r="G426">
        <v>1114.56</v>
      </c>
      <c r="H426">
        <v>0</v>
      </c>
      <c r="I426">
        <v>4458.24</v>
      </c>
      <c r="J426">
        <v>3608.49</v>
      </c>
      <c r="K426">
        <v>849.75</v>
      </c>
      <c r="L426" t="s">
        <v>65</v>
      </c>
      <c r="M426">
        <v>0.19059999999999999</v>
      </c>
    </row>
    <row r="427" spans="1:13" x14ac:dyDescent="0.3">
      <c r="A427" t="s">
        <v>464</v>
      </c>
      <c r="B427" s="2">
        <v>45672</v>
      </c>
      <c r="C427" t="s">
        <v>32</v>
      </c>
      <c r="D427" t="s">
        <v>15</v>
      </c>
      <c r="E427" t="s">
        <v>16</v>
      </c>
      <c r="F427">
        <v>7</v>
      </c>
      <c r="G427">
        <v>218.64</v>
      </c>
      <c r="H427">
        <v>0.15</v>
      </c>
      <c r="I427">
        <v>1300.9100000000001</v>
      </c>
      <c r="J427">
        <v>899.53</v>
      </c>
      <c r="K427">
        <v>401.38</v>
      </c>
      <c r="L427" t="s">
        <v>65</v>
      </c>
      <c r="M427">
        <v>0.3085</v>
      </c>
    </row>
    <row r="428" spans="1:13" x14ac:dyDescent="0.3">
      <c r="A428" t="s">
        <v>465</v>
      </c>
      <c r="B428" s="2">
        <v>45695</v>
      </c>
      <c r="C428" t="s">
        <v>24</v>
      </c>
      <c r="D428" t="s">
        <v>20</v>
      </c>
      <c r="E428" t="s">
        <v>21</v>
      </c>
      <c r="F428">
        <v>2</v>
      </c>
      <c r="G428">
        <v>40.659999999999997</v>
      </c>
      <c r="H428">
        <v>0</v>
      </c>
      <c r="I428">
        <v>81.319999999999993</v>
      </c>
      <c r="J428">
        <v>65.67</v>
      </c>
      <c r="K428">
        <v>15.65</v>
      </c>
      <c r="L428" t="s">
        <v>29</v>
      </c>
      <c r="M428">
        <v>0.19239999999999999</v>
      </c>
    </row>
    <row r="429" spans="1:13" x14ac:dyDescent="0.3">
      <c r="A429" t="s">
        <v>466</v>
      </c>
      <c r="B429" s="2">
        <v>45917</v>
      </c>
      <c r="C429" t="s">
        <v>14</v>
      </c>
      <c r="D429" t="s">
        <v>48</v>
      </c>
      <c r="E429" t="s">
        <v>16</v>
      </c>
      <c r="F429">
        <v>5</v>
      </c>
      <c r="G429">
        <v>965.74</v>
      </c>
      <c r="H429">
        <v>0.05</v>
      </c>
      <c r="I429">
        <v>4587.26</v>
      </c>
      <c r="J429">
        <v>2805.6</v>
      </c>
      <c r="K429">
        <v>1781.66</v>
      </c>
      <c r="L429" t="s">
        <v>38</v>
      </c>
      <c r="M429">
        <v>0.38840000000000002</v>
      </c>
    </row>
    <row r="430" spans="1:13" x14ac:dyDescent="0.3">
      <c r="A430" t="s">
        <v>467</v>
      </c>
      <c r="B430" s="2">
        <v>46004</v>
      </c>
      <c r="C430" t="s">
        <v>19</v>
      </c>
      <c r="D430" t="s">
        <v>41</v>
      </c>
      <c r="E430" t="s">
        <v>21</v>
      </c>
      <c r="F430">
        <v>5</v>
      </c>
      <c r="G430">
        <v>73.16</v>
      </c>
      <c r="H430">
        <v>0</v>
      </c>
      <c r="I430">
        <v>365.8</v>
      </c>
      <c r="J430">
        <v>236.01</v>
      </c>
      <c r="K430">
        <v>129.79</v>
      </c>
      <c r="L430" t="s">
        <v>46</v>
      </c>
      <c r="M430">
        <v>0.3548</v>
      </c>
    </row>
    <row r="431" spans="1:13" x14ac:dyDescent="0.3">
      <c r="A431" t="s">
        <v>468</v>
      </c>
      <c r="B431" s="2">
        <v>45867</v>
      </c>
      <c r="C431" t="s">
        <v>32</v>
      </c>
      <c r="D431" t="s">
        <v>48</v>
      </c>
      <c r="E431" t="s">
        <v>16</v>
      </c>
      <c r="F431">
        <v>1</v>
      </c>
      <c r="G431">
        <v>724.82</v>
      </c>
      <c r="H431">
        <v>0</v>
      </c>
      <c r="I431">
        <v>724.82</v>
      </c>
      <c r="J431">
        <v>575.47</v>
      </c>
      <c r="K431">
        <v>149.35</v>
      </c>
      <c r="L431" t="s">
        <v>26</v>
      </c>
      <c r="M431">
        <v>0.20610000000000001</v>
      </c>
    </row>
    <row r="432" spans="1:13" x14ac:dyDescent="0.3">
      <c r="A432" t="s">
        <v>469</v>
      </c>
      <c r="B432" s="2">
        <v>46019</v>
      </c>
      <c r="C432" t="s">
        <v>32</v>
      </c>
      <c r="D432" t="s">
        <v>28</v>
      </c>
      <c r="E432" t="s">
        <v>21</v>
      </c>
      <c r="F432">
        <v>4</v>
      </c>
      <c r="G432">
        <v>146.75</v>
      </c>
      <c r="H432">
        <v>0.15</v>
      </c>
      <c r="I432">
        <v>498.95</v>
      </c>
      <c r="J432">
        <v>317.99</v>
      </c>
      <c r="K432">
        <v>180.96</v>
      </c>
      <c r="L432" t="s">
        <v>46</v>
      </c>
      <c r="M432">
        <v>0.36270000000000002</v>
      </c>
    </row>
    <row r="433" spans="1:13" x14ac:dyDescent="0.3">
      <c r="A433" t="s">
        <v>470</v>
      </c>
      <c r="B433" s="2">
        <v>45894</v>
      </c>
      <c r="C433" t="s">
        <v>24</v>
      </c>
      <c r="D433" t="s">
        <v>48</v>
      </c>
      <c r="E433" t="s">
        <v>16</v>
      </c>
      <c r="F433">
        <v>5</v>
      </c>
      <c r="G433">
        <v>857.43</v>
      </c>
      <c r="H433">
        <v>0.05</v>
      </c>
      <c r="I433">
        <v>4072.79</v>
      </c>
      <c r="J433">
        <v>2821.38</v>
      </c>
      <c r="K433">
        <v>1251.4100000000001</v>
      </c>
      <c r="L433" t="s">
        <v>44</v>
      </c>
      <c r="M433">
        <v>0.30730000000000002</v>
      </c>
    </row>
    <row r="434" spans="1:13" x14ac:dyDescent="0.3">
      <c r="A434" t="s">
        <v>471</v>
      </c>
      <c r="B434" s="2">
        <v>45847</v>
      </c>
      <c r="C434" t="s">
        <v>24</v>
      </c>
      <c r="D434" t="s">
        <v>72</v>
      </c>
      <c r="E434" t="s">
        <v>16</v>
      </c>
      <c r="F434">
        <v>1</v>
      </c>
      <c r="G434">
        <v>224.31</v>
      </c>
      <c r="H434">
        <v>0</v>
      </c>
      <c r="I434">
        <v>224.31</v>
      </c>
      <c r="J434">
        <v>130.51</v>
      </c>
      <c r="K434">
        <v>93.8</v>
      </c>
      <c r="L434" t="s">
        <v>26</v>
      </c>
      <c r="M434">
        <v>0.41820000000000002</v>
      </c>
    </row>
    <row r="435" spans="1:13" x14ac:dyDescent="0.3">
      <c r="A435" t="s">
        <v>472</v>
      </c>
      <c r="B435" s="2">
        <v>45849</v>
      </c>
      <c r="C435" t="s">
        <v>14</v>
      </c>
      <c r="D435" t="s">
        <v>20</v>
      </c>
      <c r="E435" t="s">
        <v>21</v>
      </c>
      <c r="F435">
        <v>4</v>
      </c>
      <c r="G435">
        <v>35.26</v>
      </c>
      <c r="H435">
        <v>0</v>
      </c>
      <c r="I435">
        <v>141.04</v>
      </c>
      <c r="J435">
        <v>108.97</v>
      </c>
      <c r="K435">
        <v>32.07</v>
      </c>
      <c r="L435" t="s">
        <v>26</v>
      </c>
      <c r="M435">
        <v>0.22739999999999999</v>
      </c>
    </row>
    <row r="436" spans="1:13" x14ac:dyDescent="0.3">
      <c r="A436" t="s">
        <v>473</v>
      </c>
      <c r="B436" s="2">
        <v>45962</v>
      </c>
      <c r="C436" t="s">
        <v>32</v>
      </c>
      <c r="D436" t="s">
        <v>37</v>
      </c>
      <c r="E436" t="s">
        <v>16</v>
      </c>
      <c r="F436">
        <v>3</v>
      </c>
      <c r="G436">
        <v>153.76</v>
      </c>
      <c r="H436">
        <v>0</v>
      </c>
      <c r="I436">
        <v>461.28</v>
      </c>
      <c r="J436">
        <v>357.95</v>
      </c>
      <c r="K436">
        <v>103.33</v>
      </c>
      <c r="L436" t="s">
        <v>35</v>
      </c>
      <c r="M436">
        <v>0.224</v>
      </c>
    </row>
    <row r="437" spans="1:13" x14ac:dyDescent="0.3">
      <c r="A437" t="s">
        <v>474</v>
      </c>
      <c r="B437" s="2">
        <v>45849</v>
      </c>
      <c r="C437" t="s">
        <v>19</v>
      </c>
      <c r="D437" t="s">
        <v>48</v>
      </c>
      <c r="E437" t="s">
        <v>16</v>
      </c>
      <c r="F437">
        <v>5</v>
      </c>
      <c r="G437">
        <v>774.4</v>
      </c>
      <c r="H437">
        <v>0.05</v>
      </c>
      <c r="I437">
        <v>3678.4</v>
      </c>
      <c r="J437">
        <v>2905.25</v>
      </c>
      <c r="K437">
        <v>773.15</v>
      </c>
      <c r="L437" t="s">
        <v>26</v>
      </c>
      <c r="M437">
        <v>0.2102</v>
      </c>
    </row>
    <row r="438" spans="1:13" x14ac:dyDescent="0.3">
      <c r="A438" t="s">
        <v>475</v>
      </c>
      <c r="B438" s="2">
        <v>45825</v>
      </c>
      <c r="C438" t="s">
        <v>24</v>
      </c>
      <c r="D438" t="s">
        <v>25</v>
      </c>
      <c r="E438" t="s">
        <v>21</v>
      </c>
      <c r="F438">
        <v>3</v>
      </c>
      <c r="G438">
        <v>88.58</v>
      </c>
      <c r="H438">
        <v>0.15</v>
      </c>
      <c r="I438">
        <v>225.88</v>
      </c>
      <c r="J438">
        <v>139.97</v>
      </c>
      <c r="K438">
        <v>85.91</v>
      </c>
      <c r="L438" t="s">
        <v>22</v>
      </c>
      <c r="M438">
        <v>0.38030000000000003</v>
      </c>
    </row>
    <row r="439" spans="1:13" x14ac:dyDescent="0.3">
      <c r="A439" t="s">
        <v>476</v>
      </c>
      <c r="B439" s="2">
        <v>45897</v>
      </c>
      <c r="C439" t="s">
        <v>32</v>
      </c>
      <c r="D439" t="s">
        <v>20</v>
      </c>
      <c r="E439" t="s">
        <v>21</v>
      </c>
      <c r="F439">
        <v>4</v>
      </c>
      <c r="G439">
        <v>108.81</v>
      </c>
      <c r="H439">
        <v>0.05</v>
      </c>
      <c r="I439">
        <v>413.48</v>
      </c>
      <c r="J439">
        <v>265.44</v>
      </c>
      <c r="K439">
        <v>148.04</v>
      </c>
      <c r="L439" t="s">
        <v>44</v>
      </c>
      <c r="M439">
        <v>0.35799999999999998</v>
      </c>
    </row>
    <row r="440" spans="1:13" x14ac:dyDescent="0.3">
      <c r="A440" t="s">
        <v>477</v>
      </c>
      <c r="B440" s="2">
        <v>46004</v>
      </c>
      <c r="C440" t="s">
        <v>14</v>
      </c>
      <c r="D440" t="s">
        <v>28</v>
      </c>
      <c r="E440" t="s">
        <v>21</v>
      </c>
      <c r="F440">
        <v>2</v>
      </c>
      <c r="G440">
        <v>211.69</v>
      </c>
      <c r="H440">
        <v>0.1</v>
      </c>
      <c r="I440">
        <v>381.04</v>
      </c>
      <c r="J440">
        <v>221.15</v>
      </c>
      <c r="K440">
        <v>159.88999999999999</v>
      </c>
      <c r="L440" t="s">
        <v>46</v>
      </c>
      <c r="M440">
        <v>0.41959999999999997</v>
      </c>
    </row>
    <row r="441" spans="1:13" x14ac:dyDescent="0.3">
      <c r="A441" t="s">
        <v>478</v>
      </c>
      <c r="B441" s="2">
        <v>45995</v>
      </c>
      <c r="C441" t="s">
        <v>14</v>
      </c>
      <c r="D441" t="s">
        <v>15</v>
      </c>
      <c r="E441" t="s">
        <v>16</v>
      </c>
      <c r="F441">
        <v>6</v>
      </c>
      <c r="G441">
        <v>301.08</v>
      </c>
      <c r="H441">
        <v>0</v>
      </c>
      <c r="I441">
        <v>1806.48</v>
      </c>
      <c r="J441">
        <v>1309.54</v>
      </c>
      <c r="K441">
        <v>496.94</v>
      </c>
      <c r="L441" t="s">
        <v>46</v>
      </c>
      <c r="M441">
        <v>0.27510000000000001</v>
      </c>
    </row>
    <row r="442" spans="1:13" x14ac:dyDescent="0.3">
      <c r="A442" t="s">
        <v>479</v>
      </c>
      <c r="B442" s="2">
        <v>45804</v>
      </c>
      <c r="C442" t="s">
        <v>19</v>
      </c>
      <c r="D442" t="s">
        <v>37</v>
      </c>
      <c r="E442" t="s">
        <v>16</v>
      </c>
      <c r="F442">
        <v>4</v>
      </c>
      <c r="G442">
        <v>258.99</v>
      </c>
      <c r="H442">
        <v>0.05</v>
      </c>
      <c r="I442">
        <v>984.16</v>
      </c>
      <c r="J442">
        <v>657.98</v>
      </c>
      <c r="K442">
        <v>326.18</v>
      </c>
      <c r="L442" t="s">
        <v>33</v>
      </c>
      <c r="M442">
        <v>0.33139999999999997</v>
      </c>
    </row>
    <row r="443" spans="1:13" x14ac:dyDescent="0.3">
      <c r="A443" t="s">
        <v>480</v>
      </c>
      <c r="B443" s="2">
        <v>45698</v>
      </c>
      <c r="C443" t="s">
        <v>19</v>
      </c>
      <c r="D443" t="s">
        <v>41</v>
      </c>
      <c r="E443" t="s">
        <v>21</v>
      </c>
      <c r="F443">
        <v>4</v>
      </c>
      <c r="G443">
        <v>68.72</v>
      </c>
      <c r="H443">
        <v>0</v>
      </c>
      <c r="I443">
        <v>274.88</v>
      </c>
      <c r="J443">
        <v>180.61</v>
      </c>
      <c r="K443">
        <v>94.27</v>
      </c>
      <c r="L443" t="s">
        <v>29</v>
      </c>
      <c r="M443">
        <v>0.34289999999999998</v>
      </c>
    </row>
    <row r="444" spans="1:13" x14ac:dyDescent="0.3">
      <c r="A444" t="s">
        <v>481</v>
      </c>
      <c r="B444" s="2">
        <v>45923</v>
      </c>
      <c r="C444" t="s">
        <v>14</v>
      </c>
      <c r="D444" t="s">
        <v>37</v>
      </c>
      <c r="E444" t="s">
        <v>16</v>
      </c>
      <c r="F444">
        <v>7</v>
      </c>
      <c r="G444">
        <v>340.29</v>
      </c>
      <c r="H444">
        <v>0.05</v>
      </c>
      <c r="I444">
        <v>2262.9299999999998</v>
      </c>
      <c r="J444">
        <v>1794.8</v>
      </c>
      <c r="K444">
        <v>468.13</v>
      </c>
      <c r="L444" t="s">
        <v>38</v>
      </c>
      <c r="M444">
        <v>0.2069</v>
      </c>
    </row>
    <row r="445" spans="1:13" x14ac:dyDescent="0.3">
      <c r="A445" t="s">
        <v>482</v>
      </c>
      <c r="B445" s="2">
        <v>45741</v>
      </c>
      <c r="C445" t="s">
        <v>14</v>
      </c>
      <c r="D445" t="s">
        <v>37</v>
      </c>
      <c r="E445" t="s">
        <v>16</v>
      </c>
      <c r="F445">
        <v>3</v>
      </c>
      <c r="G445">
        <v>423.12</v>
      </c>
      <c r="H445">
        <v>0.05</v>
      </c>
      <c r="I445">
        <v>1205.8900000000001</v>
      </c>
      <c r="J445">
        <v>952.28</v>
      </c>
      <c r="K445">
        <v>253.61</v>
      </c>
      <c r="L445" t="s">
        <v>49</v>
      </c>
      <c r="M445">
        <v>0.21029999999999999</v>
      </c>
    </row>
    <row r="446" spans="1:13" x14ac:dyDescent="0.3">
      <c r="A446" t="s">
        <v>483</v>
      </c>
      <c r="B446" s="2">
        <v>45953</v>
      </c>
      <c r="C446" t="s">
        <v>14</v>
      </c>
      <c r="D446" t="s">
        <v>20</v>
      </c>
      <c r="E446" t="s">
        <v>21</v>
      </c>
      <c r="F446">
        <v>5</v>
      </c>
      <c r="G446">
        <v>110.73</v>
      </c>
      <c r="H446">
        <v>0</v>
      </c>
      <c r="I446">
        <v>553.65</v>
      </c>
      <c r="J446">
        <v>392.07</v>
      </c>
      <c r="K446">
        <v>161.58000000000001</v>
      </c>
      <c r="L446" t="s">
        <v>58</v>
      </c>
      <c r="M446">
        <v>0.2918</v>
      </c>
    </row>
    <row r="447" spans="1:13" x14ac:dyDescent="0.3">
      <c r="A447" t="s">
        <v>484</v>
      </c>
      <c r="B447" s="2">
        <v>45958</v>
      </c>
      <c r="C447" t="s">
        <v>19</v>
      </c>
      <c r="D447" t="s">
        <v>48</v>
      </c>
      <c r="E447" t="s">
        <v>16</v>
      </c>
      <c r="F447">
        <v>1</v>
      </c>
      <c r="G447">
        <v>824.32</v>
      </c>
      <c r="H447">
        <v>0</v>
      </c>
      <c r="I447">
        <v>824.32</v>
      </c>
      <c r="J447">
        <v>574.25</v>
      </c>
      <c r="K447">
        <v>250.07</v>
      </c>
      <c r="L447" t="s">
        <v>58</v>
      </c>
      <c r="M447">
        <v>0.3034</v>
      </c>
    </row>
    <row r="448" spans="1:13" x14ac:dyDescent="0.3">
      <c r="A448" t="s">
        <v>485</v>
      </c>
      <c r="B448" s="2">
        <v>45936</v>
      </c>
      <c r="C448" t="s">
        <v>24</v>
      </c>
      <c r="D448" t="s">
        <v>37</v>
      </c>
      <c r="E448" t="s">
        <v>16</v>
      </c>
      <c r="F448">
        <v>5</v>
      </c>
      <c r="G448">
        <v>178.13</v>
      </c>
      <c r="H448">
        <v>0.05</v>
      </c>
      <c r="I448">
        <v>846.12</v>
      </c>
      <c r="J448">
        <v>560.44000000000005</v>
      </c>
      <c r="K448">
        <v>285.68</v>
      </c>
      <c r="L448" t="s">
        <v>58</v>
      </c>
      <c r="M448">
        <v>0.33760000000000001</v>
      </c>
    </row>
    <row r="449" spans="1:13" x14ac:dyDescent="0.3">
      <c r="A449" t="s">
        <v>486</v>
      </c>
      <c r="B449" s="2">
        <v>45756</v>
      </c>
      <c r="C449" t="s">
        <v>32</v>
      </c>
      <c r="D449" t="s">
        <v>48</v>
      </c>
      <c r="E449" t="s">
        <v>16</v>
      </c>
      <c r="F449">
        <v>6</v>
      </c>
      <c r="G449">
        <v>1099.6400000000001</v>
      </c>
      <c r="H449">
        <v>0.05</v>
      </c>
      <c r="I449">
        <v>6267.95</v>
      </c>
      <c r="J449">
        <v>4282.16</v>
      </c>
      <c r="K449">
        <v>1985.79</v>
      </c>
      <c r="L449" t="s">
        <v>17</v>
      </c>
      <c r="M449">
        <v>0.31680000000000003</v>
      </c>
    </row>
    <row r="450" spans="1:13" x14ac:dyDescent="0.3">
      <c r="A450" t="s">
        <v>487</v>
      </c>
      <c r="B450" s="2">
        <v>46011</v>
      </c>
      <c r="C450" t="s">
        <v>24</v>
      </c>
      <c r="D450" t="s">
        <v>15</v>
      </c>
      <c r="E450" t="s">
        <v>16</v>
      </c>
      <c r="F450">
        <v>1</v>
      </c>
      <c r="G450">
        <v>323.97000000000003</v>
      </c>
      <c r="H450">
        <v>0.1</v>
      </c>
      <c r="I450">
        <v>291.57</v>
      </c>
      <c r="J450">
        <v>200.35</v>
      </c>
      <c r="K450">
        <v>91.22</v>
      </c>
      <c r="L450" t="s">
        <v>46</v>
      </c>
      <c r="M450">
        <v>0.31290000000000001</v>
      </c>
    </row>
    <row r="451" spans="1:13" x14ac:dyDescent="0.3">
      <c r="A451" t="s">
        <v>488</v>
      </c>
      <c r="B451" s="2">
        <v>46017</v>
      </c>
      <c r="C451" t="s">
        <v>19</v>
      </c>
      <c r="D451" t="s">
        <v>20</v>
      </c>
      <c r="E451" t="s">
        <v>21</v>
      </c>
      <c r="F451">
        <v>3</v>
      </c>
      <c r="G451">
        <v>106.47</v>
      </c>
      <c r="H451">
        <v>0.15</v>
      </c>
      <c r="I451">
        <v>271.5</v>
      </c>
      <c r="J451">
        <v>185.55</v>
      </c>
      <c r="K451">
        <v>85.95</v>
      </c>
      <c r="L451" t="s">
        <v>46</v>
      </c>
      <c r="M451">
        <v>0.31659999999999999</v>
      </c>
    </row>
    <row r="452" spans="1:13" x14ac:dyDescent="0.3">
      <c r="A452" t="s">
        <v>489</v>
      </c>
      <c r="B452" s="2">
        <v>45824</v>
      </c>
      <c r="C452" t="s">
        <v>14</v>
      </c>
      <c r="D452" t="s">
        <v>72</v>
      </c>
      <c r="E452" t="s">
        <v>16</v>
      </c>
      <c r="F452">
        <v>2</v>
      </c>
      <c r="G452">
        <v>186.21</v>
      </c>
      <c r="H452">
        <v>0</v>
      </c>
      <c r="I452">
        <v>372.42</v>
      </c>
      <c r="J452">
        <v>251.13</v>
      </c>
      <c r="K452">
        <v>121.29</v>
      </c>
      <c r="L452" t="s">
        <v>22</v>
      </c>
      <c r="M452">
        <v>0.32569999999999999</v>
      </c>
    </row>
    <row r="453" spans="1:13" x14ac:dyDescent="0.3">
      <c r="A453" t="s">
        <v>490</v>
      </c>
      <c r="B453" s="2">
        <v>45850</v>
      </c>
      <c r="C453" t="s">
        <v>19</v>
      </c>
      <c r="D453" t="s">
        <v>72</v>
      </c>
      <c r="E453" t="s">
        <v>16</v>
      </c>
      <c r="F453">
        <v>4</v>
      </c>
      <c r="G453">
        <v>201.94</v>
      </c>
      <c r="H453">
        <v>0</v>
      </c>
      <c r="I453">
        <v>807.76</v>
      </c>
      <c r="J453">
        <v>641.05999999999995</v>
      </c>
      <c r="K453">
        <v>166.7</v>
      </c>
      <c r="L453" t="s">
        <v>26</v>
      </c>
      <c r="M453">
        <v>0.2064</v>
      </c>
    </row>
    <row r="454" spans="1:13" x14ac:dyDescent="0.3">
      <c r="A454" t="s">
        <v>491</v>
      </c>
      <c r="B454" s="2">
        <v>45783</v>
      </c>
      <c r="C454" t="s">
        <v>19</v>
      </c>
      <c r="D454" t="s">
        <v>41</v>
      </c>
      <c r="E454" t="s">
        <v>21</v>
      </c>
      <c r="F454">
        <v>3</v>
      </c>
      <c r="G454">
        <v>13.6</v>
      </c>
      <c r="H454">
        <v>0.05</v>
      </c>
      <c r="I454">
        <v>38.76</v>
      </c>
      <c r="J454">
        <v>28.41</v>
      </c>
      <c r="K454">
        <v>10.35</v>
      </c>
      <c r="L454" t="s">
        <v>33</v>
      </c>
      <c r="M454">
        <v>0.26700000000000002</v>
      </c>
    </row>
    <row r="455" spans="1:13" x14ac:dyDescent="0.3">
      <c r="A455" t="s">
        <v>492</v>
      </c>
      <c r="B455" s="2">
        <v>45773</v>
      </c>
      <c r="C455" t="s">
        <v>24</v>
      </c>
      <c r="D455" t="s">
        <v>48</v>
      </c>
      <c r="E455" t="s">
        <v>16</v>
      </c>
      <c r="F455">
        <v>1</v>
      </c>
      <c r="G455">
        <v>990.13</v>
      </c>
      <c r="H455">
        <v>0.05</v>
      </c>
      <c r="I455">
        <v>940.62</v>
      </c>
      <c r="J455">
        <v>627.87</v>
      </c>
      <c r="K455">
        <v>312.75</v>
      </c>
      <c r="L455" t="s">
        <v>17</v>
      </c>
      <c r="M455">
        <v>0.33250000000000002</v>
      </c>
    </row>
    <row r="456" spans="1:13" x14ac:dyDescent="0.3">
      <c r="A456" t="s">
        <v>493</v>
      </c>
      <c r="B456" s="2">
        <v>45982</v>
      </c>
      <c r="C456" t="s">
        <v>14</v>
      </c>
      <c r="D456" t="s">
        <v>41</v>
      </c>
      <c r="E456" t="s">
        <v>21</v>
      </c>
      <c r="F456">
        <v>6</v>
      </c>
      <c r="G456">
        <v>40.6</v>
      </c>
      <c r="H456">
        <v>0.05</v>
      </c>
      <c r="I456">
        <v>231.42</v>
      </c>
      <c r="J456">
        <v>142.03</v>
      </c>
      <c r="K456">
        <v>89.39</v>
      </c>
      <c r="L456" t="s">
        <v>35</v>
      </c>
      <c r="M456">
        <v>0.38629999999999998</v>
      </c>
    </row>
    <row r="457" spans="1:13" x14ac:dyDescent="0.3">
      <c r="A457" t="s">
        <v>494</v>
      </c>
      <c r="B457" s="2">
        <v>46020</v>
      </c>
      <c r="C457" t="s">
        <v>24</v>
      </c>
      <c r="D457" t="s">
        <v>72</v>
      </c>
      <c r="E457" t="s">
        <v>16</v>
      </c>
      <c r="F457">
        <v>3</v>
      </c>
      <c r="G457">
        <v>228.3</v>
      </c>
      <c r="H457">
        <v>0</v>
      </c>
      <c r="I457">
        <v>684.9</v>
      </c>
      <c r="J457">
        <v>413.56</v>
      </c>
      <c r="K457">
        <v>271.33999999999997</v>
      </c>
      <c r="L457" t="s">
        <v>46</v>
      </c>
      <c r="M457">
        <v>0.3962</v>
      </c>
    </row>
    <row r="458" spans="1:13" x14ac:dyDescent="0.3">
      <c r="A458" t="s">
        <v>495</v>
      </c>
      <c r="B458" s="2">
        <v>45902</v>
      </c>
      <c r="C458" t="s">
        <v>14</v>
      </c>
      <c r="D458" t="s">
        <v>20</v>
      </c>
      <c r="E458" t="s">
        <v>21</v>
      </c>
      <c r="F458">
        <v>2</v>
      </c>
      <c r="G458">
        <v>62.57</v>
      </c>
      <c r="H458">
        <v>0</v>
      </c>
      <c r="I458">
        <v>125.14</v>
      </c>
      <c r="J458">
        <v>77</v>
      </c>
      <c r="K458">
        <v>48.14</v>
      </c>
      <c r="L458" t="s">
        <v>38</v>
      </c>
      <c r="M458">
        <v>0.38469999999999999</v>
      </c>
    </row>
    <row r="459" spans="1:13" x14ac:dyDescent="0.3">
      <c r="A459" t="s">
        <v>496</v>
      </c>
      <c r="B459" s="2">
        <v>45692</v>
      </c>
      <c r="C459" t="s">
        <v>19</v>
      </c>
      <c r="D459" t="s">
        <v>37</v>
      </c>
      <c r="E459" t="s">
        <v>16</v>
      </c>
      <c r="F459">
        <v>5</v>
      </c>
      <c r="G459">
        <v>399</v>
      </c>
      <c r="H459">
        <v>0</v>
      </c>
      <c r="I459">
        <v>1995</v>
      </c>
      <c r="J459">
        <v>1336.56</v>
      </c>
      <c r="K459">
        <v>658.44</v>
      </c>
      <c r="L459" t="s">
        <v>29</v>
      </c>
      <c r="M459">
        <v>0.33</v>
      </c>
    </row>
    <row r="460" spans="1:13" x14ac:dyDescent="0.3">
      <c r="A460" t="s">
        <v>497</v>
      </c>
      <c r="B460" s="2">
        <v>45716</v>
      </c>
      <c r="C460" t="s">
        <v>19</v>
      </c>
      <c r="D460" t="s">
        <v>25</v>
      </c>
      <c r="E460" t="s">
        <v>21</v>
      </c>
      <c r="F460">
        <v>4</v>
      </c>
      <c r="G460">
        <v>159.33000000000001</v>
      </c>
      <c r="H460">
        <v>0.05</v>
      </c>
      <c r="I460">
        <v>605.45000000000005</v>
      </c>
      <c r="J460">
        <v>363.98</v>
      </c>
      <c r="K460">
        <v>241.47</v>
      </c>
      <c r="L460" t="s">
        <v>29</v>
      </c>
      <c r="M460">
        <v>0.39879999999999999</v>
      </c>
    </row>
    <row r="461" spans="1:13" x14ac:dyDescent="0.3">
      <c r="A461" t="s">
        <v>498</v>
      </c>
      <c r="B461" s="2">
        <v>45726</v>
      </c>
      <c r="C461" t="s">
        <v>32</v>
      </c>
      <c r="D461" t="s">
        <v>25</v>
      </c>
      <c r="E461" t="s">
        <v>21</v>
      </c>
      <c r="F461">
        <v>4</v>
      </c>
      <c r="G461">
        <v>34.020000000000003</v>
      </c>
      <c r="H461">
        <v>0.15</v>
      </c>
      <c r="I461">
        <v>115.67</v>
      </c>
      <c r="J461">
        <v>88.56</v>
      </c>
      <c r="K461">
        <v>27.11</v>
      </c>
      <c r="L461" t="s">
        <v>49</v>
      </c>
      <c r="M461">
        <v>0.2344</v>
      </c>
    </row>
    <row r="462" spans="1:13" x14ac:dyDescent="0.3">
      <c r="A462" t="s">
        <v>499</v>
      </c>
      <c r="B462" s="2">
        <v>46000</v>
      </c>
      <c r="C462" t="s">
        <v>19</v>
      </c>
      <c r="D462" t="s">
        <v>48</v>
      </c>
      <c r="E462" t="s">
        <v>16</v>
      </c>
      <c r="F462">
        <v>1</v>
      </c>
      <c r="G462">
        <v>895.97</v>
      </c>
      <c r="H462">
        <v>0</v>
      </c>
      <c r="I462">
        <v>895.97</v>
      </c>
      <c r="J462">
        <v>572.76</v>
      </c>
      <c r="K462">
        <v>323.20999999999998</v>
      </c>
      <c r="L462" t="s">
        <v>46</v>
      </c>
      <c r="M462">
        <v>0.36070000000000002</v>
      </c>
    </row>
    <row r="463" spans="1:13" x14ac:dyDescent="0.3">
      <c r="A463" t="s">
        <v>500</v>
      </c>
      <c r="B463" s="2">
        <v>45998</v>
      </c>
      <c r="C463" t="s">
        <v>14</v>
      </c>
      <c r="D463" t="s">
        <v>20</v>
      </c>
      <c r="E463" t="s">
        <v>21</v>
      </c>
      <c r="F463">
        <v>2</v>
      </c>
      <c r="G463">
        <v>103.55</v>
      </c>
      <c r="H463">
        <v>0.1</v>
      </c>
      <c r="I463">
        <v>186.39</v>
      </c>
      <c r="J463">
        <v>116.03</v>
      </c>
      <c r="K463">
        <v>70.36</v>
      </c>
      <c r="L463" t="s">
        <v>46</v>
      </c>
      <c r="M463">
        <v>0.3775</v>
      </c>
    </row>
    <row r="464" spans="1:13" x14ac:dyDescent="0.3">
      <c r="A464" t="s">
        <v>501</v>
      </c>
      <c r="B464" s="2">
        <v>45749</v>
      </c>
      <c r="C464" t="s">
        <v>19</v>
      </c>
      <c r="D464" t="s">
        <v>15</v>
      </c>
      <c r="E464" t="s">
        <v>16</v>
      </c>
      <c r="F464">
        <v>4</v>
      </c>
      <c r="G464">
        <v>290.47000000000003</v>
      </c>
      <c r="H464">
        <v>0.1</v>
      </c>
      <c r="I464">
        <v>1045.69</v>
      </c>
      <c r="J464">
        <v>743.23</v>
      </c>
      <c r="K464">
        <v>302.45999999999998</v>
      </c>
      <c r="L464" t="s">
        <v>17</v>
      </c>
      <c r="M464">
        <v>0.28920000000000001</v>
      </c>
    </row>
    <row r="465" spans="1:13" x14ac:dyDescent="0.3">
      <c r="A465" t="s">
        <v>502</v>
      </c>
      <c r="B465" s="2">
        <v>45930</v>
      </c>
      <c r="C465" t="s">
        <v>19</v>
      </c>
      <c r="D465" t="s">
        <v>72</v>
      </c>
      <c r="E465" t="s">
        <v>16</v>
      </c>
      <c r="F465">
        <v>5</v>
      </c>
      <c r="G465">
        <v>205.45</v>
      </c>
      <c r="H465">
        <v>0.05</v>
      </c>
      <c r="I465">
        <v>975.89</v>
      </c>
      <c r="J465">
        <v>680.52</v>
      </c>
      <c r="K465">
        <v>295.37</v>
      </c>
      <c r="L465" t="s">
        <v>38</v>
      </c>
      <c r="M465">
        <v>0.30270000000000002</v>
      </c>
    </row>
    <row r="466" spans="1:13" x14ac:dyDescent="0.3">
      <c r="A466" t="s">
        <v>503</v>
      </c>
      <c r="B466" s="2">
        <v>45822</v>
      </c>
      <c r="C466" t="s">
        <v>19</v>
      </c>
      <c r="D466" t="s">
        <v>41</v>
      </c>
      <c r="E466" t="s">
        <v>21</v>
      </c>
      <c r="F466">
        <v>2</v>
      </c>
      <c r="G466">
        <v>51.27</v>
      </c>
      <c r="H466">
        <v>0.05</v>
      </c>
      <c r="I466">
        <v>97.41</v>
      </c>
      <c r="J466">
        <v>71.010000000000005</v>
      </c>
      <c r="K466">
        <v>26.4</v>
      </c>
      <c r="L466" t="s">
        <v>22</v>
      </c>
      <c r="M466">
        <v>0.27100000000000002</v>
      </c>
    </row>
    <row r="467" spans="1:13" x14ac:dyDescent="0.3">
      <c r="A467" t="s">
        <v>504</v>
      </c>
      <c r="B467" s="2">
        <v>45721</v>
      </c>
      <c r="C467" t="s">
        <v>19</v>
      </c>
      <c r="D467" t="s">
        <v>28</v>
      </c>
      <c r="E467" t="s">
        <v>21</v>
      </c>
      <c r="F467">
        <v>4</v>
      </c>
      <c r="G467">
        <v>192.72</v>
      </c>
      <c r="H467">
        <v>0.1</v>
      </c>
      <c r="I467">
        <v>693.79</v>
      </c>
      <c r="J467">
        <v>553.41</v>
      </c>
      <c r="K467">
        <v>140.38</v>
      </c>
      <c r="L467" t="s">
        <v>49</v>
      </c>
      <c r="M467">
        <v>0.20230000000000001</v>
      </c>
    </row>
    <row r="468" spans="1:13" x14ac:dyDescent="0.3">
      <c r="A468" t="s">
        <v>505</v>
      </c>
      <c r="B468" s="2">
        <v>45806</v>
      </c>
      <c r="C468" t="s">
        <v>14</v>
      </c>
      <c r="D468" t="s">
        <v>28</v>
      </c>
      <c r="E468" t="s">
        <v>21</v>
      </c>
      <c r="F468">
        <v>2</v>
      </c>
      <c r="G468">
        <v>168.6</v>
      </c>
      <c r="H468">
        <v>0.05</v>
      </c>
      <c r="I468">
        <v>320.33999999999997</v>
      </c>
      <c r="J468">
        <v>252.68</v>
      </c>
      <c r="K468">
        <v>67.66</v>
      </c>
      <c r="L468" t="s">
        <v>33</v>
      </c>
      <c r="M468">
        <v>0.2112</v>
      </c>
    </row>
    <row r="469" spans="1:13" x14ac:dyDescent="0.3">
      <c r="A469" t="s">
        <v>506</v>
      </c>
      <c r="B469" s="2">
        <v>45703</v>
      </c>
      <c r="C469" t="s">
        <v>14</v>
      </c>
      <c r="D469" t="s">
        <v>20</v>
      </c>
      <c r="E469" t="s">
        <v>21</v>
      </c>
      <c r="F469">
        <v>7</v>
      </c>
      <c r="G469">
        <v>36.86</v>
      </c>
      <c r="H469">
        <v>0.1</v>
      </c>
      <c r="I469">
        <v>232.22</v>
      </c>
      <c r="J469">
        <v>150.06</v>
      </c>
      <c r="K469">
        <v>82.16</v>
      </c>
      <c r="L469" t="s">
        <v>29</v>
      </c>
      <c r="M469">
        <v>0.3538</v>
      </c>
    </row>
    <row r="470" spans="1:13" x14ac:dyDescent="0.3">
      <c r="A470" t="s">
        <v>507</v>
      </c>
      <c r="B470" s="2">
        <v>45893</v>
      </c>
      <c r="C470" t="s">
        <v>24</v>
      </c>
      <c r="D470" t="s">
        <v>41</v>
      </c>
      <c r="E470" t="s">
        <v>21</v>
      </c>
      <c r="F470">
        <v>6</v>
      </c>
      <c r="G470">
        <v>21.37</v>
      </c>
      <c r="H470">
        <v>0.05</v>
      </c>
      <c r="I470">
        <v>121.81</v>
      </c>
      <c r="J470">
        <v>99.33</v>
      </c>
      <c r="K470">
        <v>22.48</v>
      </c>
      <c r="L470" t="s">
        <v>44</v>
      </c>
      <c r="M470">
        <v>0.1845</v>
      </c>
    </row>
    <row r="471" spans="1:13" x14ac:dyDescent="0.3">
      <c r="A471" t="s">
        <v>508</v>
      </c>
      <c r="B471" s="2">
        <v>45873</v>
      </c>
      <c r="C471" t="s">
        <v>19</v>
      </c>
      <c r="D471" t="s">
        <v>72</v>
      </c>
      <c r="E471" t="s">
        <v>16</v>
      </c>
      <c r="F471">
        <v>6</v>
      </c>
      <c r="G471">
        <v>243.07</v>
      </c>
      <c r="H471">
        <v>0</v>
      </c>
      <c r="I471">
        <v>1458.42</v>
      </c>
      <c r="J471">
        <v>945.91</v>
      </c>
      <c r="K471">
        <v>512.51</v>
      </c>
      <c r="L471" t="s">
        <v>44</v>
      </c>
      <c r="M471">
        <v>0.35139999999999999</v>
      </c>
    </row>
    <row r="472" spans="1:13" x14ac:dyDescent="0.3">
      <c r="A472" t="s">
        <v>509</v>
      </c>
      <c r="B472" s="2">
        <v>45836</v>
      </c>
      <c r="C472" t="s">
        <v>32</v>
      </c>
      <c r="D472" t="s">
        <v>15</v>
      </c>
      <c r="E472" t="s">
        <v>16</v>
      </c>
      <c r="F472">
        <v>3</v>
      </c>
      <c r="G472">
        <v>420.3</v>
      </c>
      <c r="H472">
        <v>0.05</v>
      </c>
      <c r="I472">
        <v>1197.8599999999999</v>
      </c>
      <c r="J472">
        <v>860.72</v>
      </c>
      <c r="K472">
        <v>337.14</v>
      </c>
      <c r="L472" t="s">
        <v>22</v>
      </c>
      <c r="M472">
        <v>0.28149999999999997</v>
      </c>
    </row>
    <row r="473" spans="1:13" x14ac:dyDescent="0.3">
      <c r="A473" t="s">
        <v>510</v>
      </c>
      <c r="B473" s="2">
        <v>45917</v>
      </c>
      <c r="C473" t="s">
        <v>19</v>
      </c>
      <c r="D473" t="s">
        <v>25</v>
      </c>
      <c r="E473" t="s">
        <v>21</v>
      </c>
      <c r="F473">
        <v>3</v>
      </c>
      <c r="G473">
        <v>82.99</v>
      </c>
      <c r="H473">
        <v>0.1</v>
      </c>
      <c r="I473">
        <v>224.07</v>
      </c>
      <c r="J473">
        <v>171.07</v>
      </c>
      <c r="K473">
        <v>53</v>
      </c>
      <c r="L473" t="s">
        <v>38</v>
      </c>
      <c r="M473">
        <v>0.23649999999999999</v>
      </c>
    </row>
    <row r="474" spans="1:13" x14ac:dyDescent="0.3">
      <c r="A474" t="s">
        <v>511</v>
      </c>
      <c r="B474" s="2">
        <v>45994</v>
      </c>
      <c r="C474" t="s">
        <v>32</v>
      </c>
      <c r="D474" t="s">
        <v>28</v>
      </c>
      <c r="E474" t="s">
        <v>21</v>
      </c>
      <c r="F474">
        <v>3</v>
      </c>
      <c r="G474">
        <v>72.09</v>
      </c>
      <c r="H474">
        <v>0</v>
      </c>
      <c r="I474">
        <v>216.27</v>
      </c>
      <c r="J474">
        <v>169.76</v>
      </c>
      <c r="K474">
        <v>46.51</v>
      </c>
      <c r="L474" t="s">
        <v>46</v>
      </c>
      <c r="M474">
        <v>0.21510000000000001</v>
      </c>
    </row>
    <row r="475" spans="1:13" x14ac:dyDescent="0.3">
      <c r="A475" t="s">
        <v>512</v>
      </c>
      <c r="B475" s="2">
        <v>45982</v>
      </c>
      <c r="C475" t="s">
        <v>32</v>
      </c>
      <c r="D475" t="s">
        <v>48</v>
      </c>
      <c r="E475" t="s">
        <v>16</v>
      </c>
      <c r="F475">
        <v>1</v>
      </c>
      <c r="G475">
        <v>1130.51</v>
      </c>
      <c r="H475">
        <v>0</v>
      </c>
      <c r="I475">
        <v>1130.51</v>
      </c>
      <c r="J475">
        <v>895.4</v>
      </c>
      <c r="K475">
        <v>235.11</v>
      </c>
      <c r="L475" t="s">
        <v>35</v>
      </c>
      <c r="M475">
        <v>0.20799999999999999</v>
      </c>
    </row>
    <row r="476" spans="1:13" x14ac:dyDescent="0.3">
      <c r="A476" t="s">
        <v>513</v>
      </c>
      <c r="B476" s="2">
        <v>45679</v>
      </c>
      <c r="C476" t="s">
        <v>32</v>
      </c>
      <c r="D476" t="s">
        <v>15</v>
      </c>
      <c r="E476" t="s">
        <v>16</v>
      </c>
      <c r="F476">
        <v>6</v>
      </c>
      <c r="G476">
        <v>283.75</v>
      </c>
      <c r="H476">
        <v>0.1</v>
      </c>
      <c r="I476">
        <v>1532.25</v>
      </c>
      <c r="J476">
        <v>1169.1400000000001</v>
      </c>
      <c r="K476">
        <v>363.11</v>
      </c>
      <c r="L476" t="s">
        <v>65</v>
      </c>
      <c r="M476">
        <v>0.23699999999999999</v>
      </c>
    </row>
    <row r="477" spans="1:13" x14ac:dyDescent="0.3">
      <c r="A477" t="s">
        <v>514</v>
      </c>
      <c r="B477" s="2">
        <v>45934</v>
      </c>
      <c r="C477" t="s">
        <v>24</v>
      </c>
      <c r="D477" t="s">
        <v>25</v>
      </c>
      <c r="E477" t="s">
        <v>21</v>
      </c>
      <c r="F477">
        <v>3</v>
      </c>
      <c r="G477">
        <v>143.37</v>
      </c>
      <c r="H477">
        <v>0.05</v>
      </c>
      <c r="I477">
        <v>408.6</v>
      </c>
      <c r="J477">
        <v>299.02</v>
      </c>
      <c r="K477">
        <v>109.58</v>
      </c>
      <c r="L477" t="s">
        <v>58</v>
      </c>
      <c r="M477">
        <v>0.26819999999999999</v>
      </c>
    </row>
    <row r="478" spans="1:13" x14ac:dyDescent="0.3">
      <c r="A478" t="s">
        <v>515</v>
      </c>
      <c r="B478" s="2">
        <v>45879</v>
      </c>
      <c r="C478" t="s">
        <v>19</v>
      </c>
      <c r="D478" t="s">
        <v>41</v>
      </c>
      <c r="E478" t="s">
        <v>21</v>
      </c>
      <c r="F478">
        <v>2</v>
      </c>
      <c r="G478">
        <v>33</v>
      </c>
      <c r="H478">
        <v>0.1</v>
      </c>
      <c r="I478">
        <v>59.4</v>
      </c>
      <c r="J478">
        <v>41.99</v>
      </c>
      <c r="K478">
        <v>17.41</v>
      </c>
      <c r="L478" t="s">
        <v>44</v>
      </c>
      <c r="M478">
        <v>0.29310000000000003</v>
      </c>
    </row>
    <row r="479" spans="1:13" x14ac:dyDescent="0.3">
      <c r="A479" t="s">
        <v>516</v>
      </c>
      <c r="B479" s="2">
        <v>45687</v>
      </c>
      <c r="C479" t="s">
        <v>19</v>
      </c>
      <c r="D479" t="s">
        <v>20</v>
      </c>
      <c r="E479" t="s">
        <v>21</v>
      </c>
      <c r="F479">
        <v>3</v>
      </c>
      <c r="G479">
        <v>44.06</v>
      </c>
      <c r="H479">
        <v>0.15</v>
      </c>
      <c r="I479">
        <v>112.35</v>
      </c>
      <c r="J479">
        <v>67.58</v>
      </c>
      <c r="K479">
        <v>44.77</v>
      </c>
      <c r="L479" t="s">
        <v>65</v>
      </c>
      <c r="M479">
        <v>0.39850000000000002</v>
      </c>
    </row>
    <row r="480" spans="1:13" x14ac:dyDescent="0.3">
      <c r="A480" t="s">
        <v>517</v>
      </c>
      <c r="B480" s="2">
        <v>45798</v>
      </c>
      <c r="C480" t="s">
        <v>24</v>
      </c>
      <c r="D480" t="s">
        <v>20</v>
      </c>
      <c r="E480" t="s">
        <v>21</v>
      </c>
      <c r="F480">
        <v>1</v>
      </c>
      <c r="G480">
        <v>57.47</v>
      </c>
      <c r="H480">
        <v>0.05</v>
      </c>
      <c r="I480">
        <v>54.6</v>
      </c>
      <c r="J480">
        <v>32.57</v>
      </c>
      <c r="K480">
        <v>22.03</v>
      </c>
      <c r="L480" t="s">
        <v>33</v>
      </c>
      <c r="M480">
        <v>0.40350000000000003</v>
      </c>
    </row>
    <row r="481" spans="1:13" x14ac:dyDescent="0.3">
      <c r="A481" t="s">
        <v>518</v>
      </c>
      <c r="B481" s="2">
        <v>45692</v>
      </c>
      <c r="C481" t="s">
        <v>14</v>
      </c>
      <c r="D481" t="s">
        <v>72</v>
      </c>
      <c r="E481" t="s">
        <v>16</v>
      </c>
      <c r="F481">
        <v>5</v>
      </c>
      <c r="G481">
        <v>303.7</v>
      </c>
      <c r="H481">
        <v>0.1</v>
      </c>
      <c r="I481">
        <v>1366.65</v>
      </c>
      <c r="J481">
        <v>1082.74</v>
      </c>
      <c r="K481">
        <v>283.91000000000003</v>
      </c>
      <c r="L481" t="s">
        <v>29</v>
      </c>
      <c r="M481">
        <v>0.2077</v>
      </c>
    </row>
    <row r="482" spans="1:13" x14ac:dyDescent="0.3">
      <c r="A482" t="s">
        <v>519</v>
      </c>
      <c r="B482" s="2">
        <v>46015</v>
      </c>
      <c r="C482" t="s">
        <v>19</v>
      </c>
      <c r="D482" t="s">
        <v>15</v>
      </c>
      <c r="E482" t="s">
        <v>16</v>
      </c>
      <c r="F482">
        <v>7</v>
      </c>
      <c r="G482">
        <v>409.19</v>
      </c>
      <c r="H482">
        <v>0</v>
      </c>
      <c r="I482">
        <v>2864.33</v>
      </c>
      <c r="J482">
        <v>1941.47</v>
      </c>
      <c r="K482">
        <v>922.86</v>
      </c>
      <c r="L482" t="s">
        <v>46</v>
      </c>
      <c r="M482">
        <v>0.32219999999999999</v>
      </c>
    </row>
    <row r="483" spans="1:13" x14ac:dyDescent="0.3">
      <c r="A483" t="s">
        <v>520</v>
      </c>
      <c r="B483" s="2">
        <v>45702</v>
      </c>
      <c r="C483" t="s">
        <v>32</v>
      </c>
      <c r="D483" t="s">
        <v>20</v>
      </c>
      <c r="E483" t="s">
        <v>21</v>
      </c>
      <c r="F483">
        <v>3</v>
      </c>
      <c r="G483">
        <v>85.05</v>
      </c>
      <c r="H483">
        <v>0.05</v>
      </c>
      <c r="I483">
        <v>242.39</v>
      </c>
      <c r="J483">
        <v>181.18</v>
      </c>
      <c r="K483">
        <v>61.21</v>
      </c>
      <c r="L483" t="s">
        <v>29</v>
      </c>
      <c r="M483">
        <v>0.2525</v>
      </c>
    </row>
    <row r="484" spans="1:13" x14ac:dyDescent="0.3">
      <c r="A484" t="s">
        <v>521</v>
      </c>
      <c r="B484" s="2">
        <v>45819</v>
      </c>
      <c r="C484" t="s">
        <v>14</v>
      </c>
      <c r="D484" t="s">
        <v>20</v>
      </c>
      <c r="E484" t="s">
        <v>21</v>
      </c>
      <c r="F484">
        <v>3</v>
      </c>
      <c r="G484">
        <v>107.55</v>
      </c>
      <c r="H484">
        <v>0.05</v>
      </c>
      <c r="I484">
        <v>306.52</v>
      </c>
      <c r="J484">
        <v>186.09</v>
      </c>
      <c r="K484">
        <v>120.43</v>
      </c>
      <c r="L484" t="s">
        <v>22</v>
      </c>
      <c r="M484">
        <v>0.39290000000000003</v>
      </c>
    </row>
    <row r="485" spans="1:13" x14ac:dyDescent="0.3">
      <c r="A485" t="s">
        <v>522</v>
      </c>
      <c r="B485" s="2">
        <v>45768</v>
      </c>
      <c r="C485" t="s">
        <v>19</v>
      </c>
      <c r="D485" t="s">
        <v>41</v>
      </c>
      <c r="E485" t="s">
        <v>21</v>
      </c>
      <c r="F485">
        <v>6</v>
      </c>
      <c r="G485">
        <v>15.16</v>
      </c>
      <c r="H485">
        <v>0</v>
      </c>
      <c r="I485">
        <v>90.96</v>
      </c>
      <c r="J485">
        <v>61.55</v>
      </c>
      <c r="K485">
        <v>29.41</v>
      </c>
      <c r="L485" t="s">
        <v>17</v>
      </c>
      <c r="M485">
        <v>0.32329999999999998</v>
      </c>
    </row>
    <row r="486" spans="1:13" x14ac:dyDescent="0.3">
      <c r="A486" t="s">
        <v>523</v>
      </c>
      <c r="B486" s="2">
        <v>45712</v>
      </c>
      <c r="C486" t="s">
        <v>19</v>
      </c>
      <c r="D486" t="s">
        <v>41</v>
      </c>
      <c r="E486" t="s">
        <v>21</v>
      </c>
      <c r="F486">
        <v>2</v>
      </c>
      <c r="G486">
        <v>29.7</v>
      </c>
      <c r="H486">
        <v>0.1</v>
      </c>
      <c r="I486">
        <v>53.46</v>
      </c>
      <c r="J486">
        <v>42.93</v>
      </c>
      <c r="K486">
        <v>10.53</v>
      </c>
      <c r="L486" t="s">
        <v>29</v>
      </c>
      <c r="M486">
        <v>0.19700000000000001</v>
      </c>
    </row>
    <row r="487" spans="1:13" x14ac:dyDescent="0.3">
      <c r="A487" t="s">
        <v>524</v>
      </c>
      <c r="B487" s="2">
        <v>45815</v>
      </c>
      <c r="C487" t="s">
        <v>32</v>
      </c>
      <c r="D487" t="s">
        <v>25</v>
      </c>
      <c r="E487" t="s">
        <v>21</v>
      </c>
      <c r="F487">
        <v>5</v>
      </c>
      <c r="G487">
        <v>105.82</v>
      </c>
      <c r="H487">
        <v>0.1</v>
      </c>
      <c r="I487">
        <v>476.19</v>
      </c>
      <c r="J487">
        <v>338.93</v>
      </c>
      <c r="K487">
        <v>137.26</v>
      </c>
      <c r="L487" t="s">
        <v>22</v>
      </c>
      <c r="M487">
        <v>0.28820000000000001</v>
      </c>
    </row>
    <row r="488" spans="1:13" x14ac:dyDescent="0.3">
      <c r="A488" t="s">
        <v>525</v>
      </c>
      <c r="B488" s="2">
        <v>45688</v>
      </c>
      <c r="C488" t="s">
        <v>32</v>
      </c>
      <c r="D488" t="s">
        <v>28</v>
      </c>
      <c r="E488" t="s">
        <v>21</v>
      </c>
      <c r="F488">
        <v>5</v>
      </c>
      <c r="G488">
        <v>74.709999999999994</v>
      </c>
      <c r="H488">
        <v>0</v>
      </c>
      <c r="I488">
        <v>373.55</v>
      </c>
      <c r="J488">
        <v>284.76</v>
      </c>
      <c r="K488">
        <v>88.79</v>
      </c>
      <c r="L488" t="s">
        <v>65</v>
      </c>
      <c r="M488">
        <v>0.23769999999999999</v>
      </c>
    </row>
    <row r="489" spans="1:13" x14ac:dyDescent="0.3">
      <c r="A489" t="s">
        <v>526</v>
      </c>
      <c r="B489" s="2">
        <v>45711</v>
      </c>
      <c r="C489" t="s">
        <v>24</v>
      </c>
      <c r="D489" t="s">
        <v>15</v>
      </c>
      <c r="E489" t="s">
        <v>16</v>
      </c>
      <c r="F489">
        <v>7</v>
      </c>
      <c r="G489">
        <v>587.46</v>
      </c>
      <c r="H489">
        <v>0.05</v>
      </c>
      <c r="I489">
        <v>3906.61</v>
      </c>
      <c r="J489">
        <v>3036</v>
      </c>
      <c r="K489">
        <v>870.61</v>
      </c>
      <c r="L489" t="s">
        <v>29</v>
      </c>
      <c r="M489">
        <v>0.22289999999999999</v>
      </c>
    </row>
    <row r="490" spans="1:13" x14ac:dyDescent="0.3">
      <c r="A490" t="s">
        <v>527</v>
      </c>
      <c r="B490" s="2">
        <v>45992</v>
      </c>
      <c r="C490" t="s">
        <v>14</v>
      </c>
      <c r="D490" t="s">
        <v>41</v>
      </c>
      <c r="E490" t="s">
        <v>21</v>
      </c>
      <c r="F490">
        <v>2</v>
      </c>
      <c r="G490">
        <v>27.24</v>
      </c>
      <c r="H490">
        <v>0.1</v>
      </c>
      <c r="I490">
        <v>49.03</v>
      </c>
      <c r="J490">
        <v>38.119999999999997</v>
      </c>
      <c r="K490">
        <v>10.91</v>
      </c>
      <c r="L490" t="s">
        <v>46</v>
      </c>
      <c r="M490">
        <v>0.2225</v>
      </c>
    </row>
    <row r="491" spans="1:13" x14ac:dyDescent="0.3">
      <c r="A491" t="s">
        <v>528</v>
      </c>
      <c r="B491" s="2">
        <v>45669</v>
      </c>
      <c r="C491" t="s">
        <v>19</v>
      </c>
      <c r="D491" t="s">
        <v>25</v>
      </c>
      <c r="E491" t="s">
        <v>21</v>
      </c>
      <c r="F491">
        <v>7</v>
      </c>
      <c r="G491">
        <v>45.59</v>
      </c>
      <c r="H491">
        <v>0.15</v>
      </c>
      <c r="I491">
        <v>271.26</v>
      </c>
      <c r="J491">
        <v>204.25</v>
      </c>
      <c r="K491">
        <v>67.010000000000005</v>
      </c>
      <c r="L491" t="s">
        <v>65</v>
      </c>
      <c r="M491">
        <v>0.247</v>
      </c>
    </row>
    <row r="492" spans="1:13" x14ac:dyDescent="0.3">
      <c r="A492" t="s">
        <v>529</v>
      </c>
      <c r="B492" s="2">
        <v>46018</v>
      </c>
      <c r="C492" t="s">
        <v>24</v>
      </c>
      <c r="D492" t="s">
        <v>15</v>
      </c>
      <c r="E492" t="s">
        <v>16</v>
      </c>
      <c r="F492">
        <v>6</v>
      </c>
      <c r="G492">
        <v>594.54</v>
      </c>
      <c r="H492">
        <v>0.1</v>
      </c>
      <c r="I492">
        <v>3210.52</v>
      </c>
      <c r="J492">
        <v>2418.21</v>
      </c>
      <c r="K492">
        <v>792.31</v>
      </c>
      <c r="L492" t="s">
        <v>46</v>
      </c>
      <c r="M492">
        <v>0.24679999999999999</v>
      </c>
    </row>
    <row r="493" spans="1:13" x14ac:dyDescent="0.3">
      <c r="A493" t="s">
        <v>530</v>
      </c>
      <c r="B493" s="2">
        <v>45931</v>
      </c>
      <c r="C493" t="s">
        <v>24</v>
      </c>
      <c r="D493" t="s">
        <v>48</v>
      </c>
      <c r="E493" t="s">
        <v>16</v>
      </c>
      <c r="F493">
        <v>7</v>
      </c>
      <c r="G493">
        <v>616.79</v>
      </c>
      <c r="H493">
        <v>0</v>
      </c>
      <c r="I493">
        <v>4317.53</v>
      </c>
      <c r="J493">
        <v>3315.53</v>
      </c>
      <c r="K493">
        <v>1002</v>
      </c>
      <c r="L493" t="s">
        <v>58</v>
      </c>
      <c r="M493">
        <v>0.2321</v>
      </c>
    </row>
    <row r="494" spans="1:13" x14ac:dyDescent="0.3">
      <c r="A494" t="s">
        <v>531</v>
      </c>
      <c r="B494" s="2">
        <v>45982</v>
      </c>
      <c r="C494" t="s">
        <v>24</v>
      </c>
      <c r="D494" t="s">
        <v>25</v>
      </c>
      <c r="E494" t="s">
        <v>21</v>
      </c>
      <c r="F494">
        <v>6</v>
      </c>
      <c r="G494">
        <v>146.44</v>
      </c>
      <c r="H494">
        <v>0.05</v>
      </c>
      <c r="I494">
        <v>834.71</v>
      </c>
      <c r="J494">
        <v>577.67999999999995</v>
      </c>
      <c r="K494">
        <v>257.02999999999997</v>
      </c>
      <c r="L494" t="s">
        <v>35</v>
      </c>
      <c r="M494">
        <v>0.30790000000000001</v>
      </c>
    </row>
    <row r="495" spans="1:13" x14ac:dyDescent="0.3">
      <c r="A495" t="s">
        <v>532</v>
      </c>
      <c r="B495" s="2">
        <v>45794</v>
      </c>
      <c r="C495" t="s">
        <v>19</v>
      </c>
      <c r="D495" t="s">
        <v>48</v>
      </c>
      <c r="E495" t="s">
        <v>16</v>
      </c>
      <c r="F495">
        <v>5</v>
      </c>
      <c r="G495">
        <v>1155.08</v>
      </c>
      <c r="H495">
        <v>0.1</v>
      </c>
      <c r="I495">
        <v>5197.8599999999997</v>
      </c>
      <c r="J495">
        <v>3176.84</v>
      </c>
      <c r="K495">
        <v>2021.02</v>
      </c>
      <c r="L495" t="s">
        <v>33</v>
      </c>
      <c r="M495">
        <v>0.38879999999999998</v>
      </c>
    </row>
    <row r="496" spans="1:13" x14ac:dyDescent="0.3">
      <c r="A496" t="s">
        <v>533</v>
      </c>
      <c r="B496" s="2">
        <v>45740</v>
      </c>
      <c r="C496" t="s">
        <v>32</v>
      </c>
      <c r="D496" t="s">
        <v>37</v>
      </c>
      <c r="E496" t="s">
        <v>16</v>
      </c>
      <c r="F496">
        <v>4</v>
      </c>
      <c r="G496">
        <v>317.26</v>
      </c>
      <c r="H496">
        <v>0.15</v>
      </c>
      <c r="I496">
        <v>1078.68</v>
      </c>
      <c r="J496">
        <v>869.76</v>
      </c>
      <c r="K496">
        <v>208.92</v>
      </c>
      <c r="L496" t="s">
        <v>49</v>
      </c>
      <c r="M496">
        <v>0.19370000000000001</v>
      </c>
    </row>
    <row r="497" spans="1:13" x14ac:dyDescent="0.3">
      <c r="A497" t="s">
        <v>534</v>
      </c>
      <c r="B497" s="2">
        <v>45973</v>
      </c>
      <c r="C497" t="s">
        <v>19</v>
      </c>
      <c r="D497" t="s">
        <v>25</v>
      </c>
      <c r="E497" t="s">
        <v>21</v>
      </c>
      <c r="F497">
        <v>4</v>
      </c>
      <c r="G497">
        <v>117.77</v>
      </c>
      <c r="H497">
        <v>0</v>
      </c>
      <c r="I497">
        <v>471.08</v>
      </c>
      <c r="J497">
        <v>278.01</v>
      </c>
      <c r="K497">
        <v>193.07</v>
      </c>
      <c r="L497" t="s">
        <v>35</v>
      </c>
      <c r="M497">
        <v>0.4098</v>
      </c>
    </row>
    <row r="498" spans="1:13" x14ac:dyDescent="0.3">
      <c r="A498" t="s">
        <v>535</v>
      </c>
      <c r="B498" s="2">
        <v>45670</v>
      </c>
      <c r="C498" t="s">
        <v>32</v>
      </c>
      <c r="D498" t="s">
        <v>48</v>
      </c>
      <c r="E498" t="s">
        <v>16</v>
      </c>
      <c r="F498">
        <v>7</v>
      </c>
      <c r="G498">
        <v>552.84</v>
      </c>
      <c r="H498">
        <v>0</v>
      </c>
      <c r="I498">
        <v>3869.88</v>
      </c>
      <c r="J498">
        <v>2906.79</v>
      </c>
      <c r="K498">
        <v>963.09</v>
      </c>
      <c r="L498" t="s">
        <v>65</v>
      </c>
      <c r="M498">
        <v>0.24890000000000001</v>
      </c>
    </row>
    <row r="499" spans="1:13" x14ac:dyDescent="0.3">
      <c r="A499" t="s">
        <v>536</v>
      </c>
      <c r="B499" s="2">
        <v>45858</v>
      </c>
      <c r="C499" t="s">
        <v>32</v>
      </c>
      <c r="D499" t="s">
        <v>48</v>
      </c>
      <c r="E499" t="s">
        <v>16</v>
      </c>
      <c r="F499">
        <v>4</v>
      </c>
      <c r="G499">
        <v>634.24</v>
      </c>
      <c r="H499">
        <v>0.05</v>
      </c>
      <c r="I499">
        <v>2410.11</v>
      </c>
      <c r="J499">
        <v>1943.89</v>
      </c>
      <c r="K499">
        <v>466.22</v>
      </c>
      <c r="L499" t="s">
        <v>26</v>
      </c>
      <c r="M499">
        <v>0.19339999999999999</v>
      </c>
    </row>
    <row r="500" spans="1:13" x14ac:dyDescent="0.3">
      <c r="A500" t="s">
        <v>537</v>
      </c>
      <c r="B500" s="2">
        <v>45961</v>
      </c>
      <c r="C500" t="s">
        <v>19</v>
      </c>
      <c r="D500" t="s">
        <v>41</v>
      </c>
      <c r="E500" t="s">
        <v>21</v>
      </c>
      <c r="F500">
        <v>3</v>
      </c>
      <c r="G500">
        <v>51.96</v>
      </c>
      <c r="H500">
        <v>0.15</v>
      </c>
      <c r="I500">
        <v>132.5</v>
      </c>
      <c r="J500">
        <v>80.180000000000007</v>
      </c>
      <c r="K500">
        <v>52.32</v>
      </c>
      <c r="L500" t="s">
        <v>58</v>
      </c>
      <c r="M500">
        <v>0.39489999999999997</v>
      </c>
    </row>
    <row r="501" spans="1:13" x14ac:dyDescent="0.3">
      <c r="A501" t="s">
        <v>538</v>
      </c>
      <c r="B501" s="2">
        <v>45884</v>
      </c>
      <c r="C501" t="s">
        <v>24</v>
      </c>
      <c r="D501" t="s">
        <v>41</v>
      </c>
      <c r="E501" t="s">
        <v>21</v>
      </c>
      <c r="F501">
        <v>1</v>
      </c>
      <c r="G501">
        <v>41.99</v>
      </c>
      <c r="H501">
        <v>0</v>
      </c>
      <c r="I501">
        <v>41.99</v>
      </c>
      <c r="J501">
        <v>30.75</v>
      </c>
      <c r="K501">
        <v>11.24</v>
      </c>
      <c r="L501" t="s">
        <v>44</v>
      </c>
      <c r="M501">
        <v>0.26769999999999999</v>
      </c>
    </row>
    <row r="502" spans="1:13" x14ac:dyDescent="0.3">
      <c r="A502" t="s">
        <v>539</v>
      </c>
      <c r="B502" s="2">
        <v>45757</v>
      </c>
      <c r="C502" t="s">
        <v>19</v>
      </c>
      <c r="D502" t="s">
        <v>48</v>
      </c>
      <c r="E502" t="s">
        <v>16</v>
      </c>
      <c r="F502">
        <v>4</v>
      </c>
      <c r="G502">
        <v>1108.32</v>
      </c>
      <c r="H502">
        <v>0</v>
      </c>
      <c r="I502">
        <v>4433.28</v>
      </c>
      <c r="J502">
        <v>3158.7</v>
      </c>
      <c r="K502">
        <v>1274.58</v>
      </c>
      <c r="L502" t="s">
        <v>17</v>
      </c>
      <c r="M502">
        <v>0.28749999999999998</v>
      </c>
    </row>
    <row r="503" spans="1:13" x14ac:dyDescent="0.3">
      <c r="A503" t="s">
        <v>540</v>
      </c>
      <c r="B503" s="2">
        <v>45757</v>
      </c>
      <c r="C503" t="s">
        <v>32</v>
      </c>
      <c r="D503" t="s">
        <v>37</v>
      </c>
      <c r="E503" t="s">
        <v>16</v>
      </c>
      <c r="F503">
        <v>1</v>
      </c>
      <c r="G503">
        <v>343.78</v>
      </c>
      <c r="H503">
        <v>0.05</v>
      </c>
      <c r="I503">
        <v>326.58999999999997</v>
      </c>
      <c r="J503">
        <v>258.41000000000003</v>
      </c>
      <c r="K503">
        <v>68.180000000000007</v>
      </c>
      <c r="L503" t="s">
        <v>17</v>
      </c>
      <c r="M503">
        <v>0.20880000000000001</v>
      </c>
    </row>
    <row r="504" spans="1:13" x14ac:dyDescent="0.3">
      <c r="A504" t="s">
        <v>541</v>
      </c>
      <c r="B504" s="2">
        <v>45949</v>
      </c>
      <c r="C504" t="s">
        <v>14</v>
      </c>
      <c r="D504" t="s">
        <v>15</v>
      </c>
      <c r="E504" t="s">
        <v>16</v>
      </c>
      <c r="F504">
        <v>5</v>
      </c>
      <c r="G504">
        <v>196.89</v>
      </c>
      <c r="H504">
        <v>0</v>
      </c>
      <c r="I504">
        <v>984.45</v>
      </c>
      <c r="J504">
        <v>790.9</v>
      </c>
      <c r="K504">
        <v>193.55</v>
      </c>
      <c r="L504" t="s">
        <v>58</v>
      </c>
      <c r="M504">
        <v>0.1966</v>
      </c>
    </row>
    <row r="505" spans="1:13" x14ac:dyDescent="0.3">
      <c r="A505" t="s">
        <v>542</v>
      </c>
      <c r="B505" s="2">
        <v>45967</v>
      </c>
      <c r="C505" t="s">
        <v>14</v>
      </c>
      <c r="D505" t="s">
        <v>20</v>
      </c>
      <c r="E505" t="s">
        <v>21</v>
      </c>
      <c r="F505">
        <v>4</v>
      </c>
      <c r="G505">
        <v>117.59</v>
      </c>
      <c r="H505">
        <v>0</v>
      </c>
      <c r="I505">
        <v>470.36</v>
      </c>
      <c r="J505">
        <v>349.82</v>
      </c>
      <c r="K505">
        <v>120.54</v>
      </c>
      <c r="L505" t="s">
        <v>35</v>
      </c>
      <c r="M505">
        <v>0.25629999999999997</v>
      </c>
    </row>
    <row r="506" spans="1:13" x14ac:dyDescent="0.3">
      <c r="A506" t="s">
        <v>543</v>
      </c>
      <c r="B506" s="2">
        <v>45706</v>
      </c>
      <c r="C506" t="s">
        <v>14</v>
      </c>
      <c r="D506" t="s">
        <v>48</v>
      </c>
      <c r="E506" t="s">
        <v>16</v>
      </c>
      <c r="F506">
        <v>4</v>
      </c>
      <c r="G506">
        <v>605.47</v>
      </c>
      <c r="H506">
        <v>0</v>
      </c>
      <c r="I506">
        <v>2421.88</v>
      </c>
      <c r="J506">
        <v>1792.31</v>
      </c>
      <c r="K506">
        <v>629.57000000000005</v>
      </c>
      <c r="L506" t="s">
        <v>29</v>
      </c>
      <c r="M506">
        <v>0.26</v>
      </c>
    </row>
    <row r="507" spans="1:13" x14ac:dyDescent="0.3">
      <c r="A507" t="s">
        <v>544</v>
      </c>
      <c r="B507" s="2">
        <v>45670</v>
      </c>
      <c r="C507" t="s">
        <v>32</v>
      </c>
      <c r="D507" t="s">
        <v>25</v>
      </c>
      <c r="E507" t="s">
        <v>21</v>
      </c>
      <c r="F507">
        <v>2</v>
      </c>
      <c r="G507">
        <v>100.69</v>
      </c>
      <c r="H507">
        <v>0</v>
      </c>
      <c r="I507">
        <v>201.38</v>
      </c>
      <c r="J507">
        <v>150.05000000000001</v>
      </c>
      <c r="K507">
        <v>51.33</v>
      </c>
      <c r="L507" t="s">
        <v>65</v>
      </c>
      <c r="M507">
        <v>0.25490000000000002</v>
      </c>
    </row>
    <row r="508" spans="1:13" x14ac:dyDescent="0.3">
      <c r="A508" t="s">
        <v>545</v>
      </c>
      <c r="B508" s="2">
        <v>45768</v>
      </c>
      <c r="C508" t="s">
        <v>14</v>
      </c>
      <c r="D508" t="s">
        <v>25</v>
      </c>
      <c r="E508" t="s">
        <v>21</v>
      </c>
      <c r="F508">
        <v>2</v>
      </c>
      <c r="G508">
        <v>32.51</v>
      </c>
      <c r="H508">
        <v>0</v>
      </c>
      <c r="I508">
        <v>65.02</v>
      </c>
      <c r="J508">
        <v>44.17</v>
      </c>
      <c r="K508">
        <v>20.85</v>
      </c>
      <c r="L508" t="s">
        <v>17</v>
      </c>
      <c r="M508">
        <v>0.32069999999999999</v>
      </c>
    </row>
    <row r="509" spans="1:13" x14ac:dyDescent="0.3">
      <c r="A509" t="s">
        <v>546</v>
      </c>
      <c r="B509" s="2">
        <v>45885</v>
      </c>
      <c r="C509" t="s">
        <v>14</v>
      </c>
      <c r="D509" t="s">
        <v>48</v>
      </c>
      <c r="E509" t="s">
        <v>16</v>
      </c>
      <c r="F509">
        <v>4</v>
      </c>
      <c r="G509">
        <v>936.84</v>
      </c>
      <c r="H509">
        <v>0</v>
      </c>
      <c r="I509">
        <v>3747.36</v>
      </c>
      <c r="J509">
        <v>2590.86</v>
      </c>
      <c r="K509">
        <v>1156.5</v>
      </c>
      <c r="L509" t="s">
        <v>44</v>
      </c>
      <c r="M509">
        <v>0.30859999999999999</v>
      </c>
    </row>
    <row r="510" spans="1:13" x14ac:dyDescent="0.3">
      <c r="A510" t="s">
        <v>547</v>
      </c>
      <c r="B510" s="2">
        <v>45832</v>
      </c>
      <c r="C510" t="s">
        <v>32</v>
      </c>
      <c r="D510" t="s">
        <v>41</v>
      </c>
      <c r="E510" t="s">
        <v>21</v>
      </c>
      <c r="F510">
        <v>2</v>
      </c>
      <c r="G510">
        <v>54.69</v>
      </c>
      <c r="H510">
        <v>0</v>
      </c>
      <c r="I510">
        <v>109.38</v>
      </c>
      <c r="J510">
        <v>83.76</v>
      </c>
      <c r="K510">
        <v>25.62</v>
      </c>
      <c r="L510" t="s">
        <v>22</v>
      </c>
      <c r="M510">
        <v>0.23419999999999999</v>
      </c>
    </row>
    <row r="511" spans="1:13" x14ac:dyDescent="0.3">
      <c r="A511" t="s">
        <v>548</v>
      </c>
      <c r="B511" s="2">
        <v>45844</v>
      </c>
      <c r="C511" t="s">
        <v>19</v>
      </c>
      <c r="D511" t="s">
        <v>72</v>
      </c>
      <c r="E511" t="s">
        <v>16</v>
      </c>
      <c r="F511">
        <v>4</v>
      </c>
      <c r="G511">
        <v>343.76</v>
      </c>
      <c r="H511">
        <v>0</v>
      </c>
      <c r="I511">
        <v>1375.04</v>
      </c>
      <c r="J511">
        <v>803.12</v>
      </c>
      <c r="K511">
        <v>571.91999999999996</v>
      </c>
      <c r="L511" t="s">
        <v>26</v>
      </c>
      <c r="M511">
        <v>0.41589999999999999</v>
      </c>
    </row>
    <row r="512" spans="1:13" x14ac:dyDescent="0.3">
      <c r="A512" t="s">
        <v>549</v>
      </c>
      <c r="B512" s="2">
        <v>45810</v>
      </c>
      <c r="C512" t="s">
        <v>32</v>
      </c>
      <c r="D512" t="s">
        <v>25</v>
      </c>
      <c r="E512" t="s">
        <v>21</v>
      </c>
      <c r="F512">
        <v>1</v>
      </c>
      <c r="G512">
        <v>45.63</v>
      </c>
      <c r="H512">
        <v>0</v>
      </c>
      <c r="I512">
        <v>45.63</v>
      </c>
      <c r="J512">
        <v>26.66</v>
      </c>
      <c r="K512">
        <v>18.97</v>
      </c>
      <c r="L512" t="s">
        <v>22</v>
      </c>
      <c r="M512">
        <v>0.41570000000000001</v>
      </c>
    </row>
    <row r="513" spans="1:13" x14ac:dyDescent="0.3">
      <c r="A513" t="s">
        <v>550</v>
      </c>
      <c r="B513" s="2">
        <v>45865</v>
      </c>
      <c r="C513" t="s">
        <v>19</v>
      </c>
      <c r="D513" t="s">
        <v>15</v>
      </c>
      <c r="E513" t="s">
        <v>16</v>
      </c>
      <c r="F513">
        <v>2</v>
      </c>
      <c r="G513">
        <v>284.93</v>
      </c>
      <c r="H513">
        <v>0.05</v>
      </c>
      <c r="I513">
        <v>541.37</v>
      </c>
      <c r="J513">
        <v>388.14</v>
      </c>
      <c r="K513">
        <v>153.22999999999999</v>
      </c>
      <c r="L513" t="s">
        <v>26</v>
      </c>
      <c r="M513">
        <v>0.28299999999999997</v>
      </c>
    </row>
    <row r="514" spans="1:13" x14ac:dyDescent="0.3">
      <c r="A514" t="s">
        <v>551</v>
      </c>
      <c r="B514" s="2">
        <v>45817</v>
      </c>
      <c r="C514" t="s">
        <v>19</v>
      </c>
      <c r="D514" t="s">
        <v>28</v>
      </c>
      <c r="E514" t="s">
        <v>21</v>
      </c>
      <c r="F514">
        <v>4</v>
      </c>
      <c r="G514">
        <v>136.44999999999999</v>
      </c>
      <c r="H514">
        <v>0.1</v>
      </c>
      <c r="I514">
        <v>491.22</v>
      </c>
      <c r="J514">
        <v>364.55</v>
      </c>
      <c r="K514">
        <v>126.67</v>
      </c>
      <c r="L514" t="s">
        <v>22</v>
      </c>
      <c r="M514">
        <v>0.25790000000000002</v>
      </c>
    </row>
    <row r="515" spans="1:13" x14ac:dyDescent="0.3">
      <c r="A515" t="s">
        <v>552</v>
      </c>
      <c r="B515" s="2">
        <v>45716</v>
      </c>
      <c r="C515" t="s">
        <v>24</v>
      </c>
      <c r="D515" t="s">
        <v>72</v>
      </c>
      <c r="E515" t="s">
        <v>16</v>
      </c>
      <c r="F515">
        <v>1</v>
      </c>
      <c r="G515">
        <v>247.6</v>
      </c>
      <c r="H515">
        <v>0</v>
      </c>
      <c r="I515">
        <v>247.6</v>
      </c>
      <c r="J515">
        <v>155.91</v>
      </c>
      <c r="K515">
        <v>91.69</v>
      </c>
      <c r="L515" t="s">
        <v>29</v>
      </c>
      <c r="M515">
        <v>0.37030000000000002</v>
      </c>
    </row>
    <row r="516" spans="1:13" x14ac:dyDescent="0.3">
      <c r="A516" t="s">
        <v>553</v>
      </c>
      <c r="B516" s="2">
        <v>45862</v>
      </c>
      <c r="C516" t="s">
        <v>19</v>
      </c>
      <c r="D516" t="s">
        <v>72</v>
      </c>
      <c r="E516" t="s">
        <v>16</v>
      </c>
      <c r="F516">
        <v>3</v>
      </c>
      <c r="G516">
        <v>274.64</v>
      </c>
      <c r="H516">
        <v>0.15</v>
      </c>
      <c r="I516">
        <v>700.33</v>
      </c>
      <c r="J516">
        <v>507.59</v>
      </c>
      <c r="K516">
        <v>192.74</v>
      </c>
      <c r="L516" t="s">
        <v>26</v>
      </c>
      <c r="M516">
        <v>0.2752</v>
      </c>
    </row>
    <row r="517" spans="1:13" x14ac:dyDescent="0.3">
      <c r="A517" t="s">
        <v>554</v>
      </c>
      <c r="B517" s="2">
        <v>45776</v>
      </c>
      <c r="C517" t="s">
        <v>32</v>
      </c>
      <c r="D517" t="s">
        <v>41</v>
      </c>
      <c r="E517" t="s">
        <v>21</v>
      </c>
      <c r="F517">
        <v>7</v>
      </c>
      <c r="G517">
        <v>54.31</v>
      </c>
      <c r="H517">
        <v>0.05</v>
      </c>
      <c r="I517">
        <v>361.16</v>
      </c>
      <c r="J517">
        <v>295.3</v>
      </c>
      <c r="K517">
        <v>65.86</v>
      </c>
      <c r="L517" t="s">
        <v>17</v>
      </c>
      <c r="M517">
        <v>0.18240000000000001</v>
      </c>
    </row>
    <row r="518" spans="1:13" x14ac:dyDescent="0.3">
      <c r="A518" t="s">
        <v>555</v>
      </c>
      <c r="B518" s="2">
        <v>45890</v>
      </c>
      <c r="C518" t="s">
        <v>32</v>
      </c>
      <c r="D518" t="s">
        <v>72</v>
      </c>
      <c r="E518" t="s">
        <v>16</v>
      </c>
      <c r="F518">
        <v>4</v>
      </c>
      <c r="G518">
        <v>231.57</v>
      </c>
      <c r="H518">
        <v>0.15</v>
      </c>
      <c r="I518">
        <v>787.34</v>
      </c>
      <c r="J518">
        <v>470.94</v>
      </c>
      <c r="K518">
        <v>316.39999999999998</v>
      </c>
      <c r="L518" t="s">
        <v>44</v>
      </c>
      <c r="M518">
        <v>0.40189999999999998</v>
      </c>
    </row>
    <row r="519" spans="1:13" x14ac:dyDescent="0.3">
      <c r="A519" t="s">
        <v>556</v>
      </c>
      <c r="B519" s="2">
        <v>45958</v>
      </c>
      <c r="C519" t="s">
        <v>19</v>
      </c>
      <c r="D519" t="s">
        <v>20</v>
      </c>
      <c r="E519" t="s">
        <v>21</v>
      </c>
      <c r="F519">
        <v>2</v>
      </c>
      <c r="G519">
        <v>43.6</v>
      </c>
      <c r="H519">
        <v>0</v>
      </c>
      <c r="I519">
        <v>87.2</v>
      </c>
      <c r="J519">
        <v>63.6</v>
      </c>
      <c r="K519">
        <v>23.6</v>
      </c>
      <c r="L519" t="s">
        <v>58</v>
      </c>
      <c r="M519">
        <v>0.27060000000000001</v>
      </c>
    </row>
    <row r="520" spans="1:13" x14ac:dyDescent="0.3">
      <c r="A520" t="s">
        <v>557</v>
      </c>
      <c r="B520" s="2">
        <v>45978</v>
      </c>
      <c r="C520" t="s">
        <v>32</v>
      </c>
      <c r="D520" t="s">
        <v>20</v>
      </c>
      <c r="E520" t="s">
        <v>21</v>
      </c>
      <c r="F520">
        <v>5</v>
      </c>
      <c r="G520">
        <v>102.06</v>
      </c>
      <c r="H520">
        <v>0.05</v>
      </c>
      <c r="I520">
        <v>484.78</v>
      </c>
      <c r="J520">
        <v>326.33</v>
      </c>
      <c r="K520">
        <v>158.44999999999999</v>
      </c>
      <c r="L520" t="s">
        <v>35</v>
      </c>
      <c r="M520">
        <v>0.32679999999999998</v>
      </c>
    </row>
    <row r="521" spans="1:13" x14ac:dyDescent="0.3">
      <c r="A521" t="s">
        <v>558</v>
      </c>
      <c r="B521" s="2">
        <v>45816</v>
      </c>
      <c r="C521" t="s">
        <v>32</v>
      </c>
      <c r="D521" t="s">
        <v>15</v>
      </c>
      <c r="E521" t="s">
        <v>16</v>
      </c>
      <c r="F521">
        <v>4</v>
      </c>
      <c r="G521">
        <v>338.55</v>
      </c>
      <c r="H521">
        <v>0.1</v>
      </c>
      <c r="I521">
        <v>1218.78</v>
      </c>
      <c r="J521">
        <v>864.5</v>
      </c>
      <c r="K521">
        <v>354.28</v>
      </c>
      <c r="L521" t="s">
        <v>22</v>
      </c>
      <c r="M521">
        <v>0.29070000000000001</v>
      </c>
    </row>
    <row r="522" spans="1:13" x14ac:dyDescent="0.3">
      <c r="A522" t="s">
        <v>559</v>
      </c>
      <c r="B522" s="2">
        <v>46018</v>
      </c>
      <c r="C522" t="s">
        <v>19</v>
      </c>
      <c r="D522" t="s">
        <v>25</v>
      </c>
      <c r="E522" t="s">
        <v>21</v>
      </c>
      <c r="F522">
        <v>2</v>
      </c>
      <c r="G522">
        <v>119.71</v>
      </c>
      <c r="H522">
        <v>0.15</v>
      </c>
      <c r="I522">
        <v>203.51</v>
      </c>
      <c r="J522">
        <v>142.33000000000001</v>
      </c>
      <c r="K522">
        <v>61.18</v>
      </c>
      <c r="L522" t="s">
        <v>46</v>
      </c>
      <c r="M522">
        <v>0.30059999999999998</v>
      </c>
    </row>
    <row r="523" spans="1:13" x14ac:dyDescent="0.3">
      <c r="A523" t="s">
        <v>560</v>
      </c>
      <c r="B523" s="2">
        <v>45881</v>
      </c>
      <c r="C523" t="s">
        <v>32</v>
      </c>
      <c r="D523" t="s">
        <v>72</v>
      </c>
      <c r="E523" t="s">
        <v>16</v>
      </c>
      <c r="F523">
        <v>6</v>
      </c>
      <c r="G523">
        <v>198.07</v>
      </c>
      <c r="H523">
        <v>0</v>
      </c>
      <c r="I523">
        <v>1188.42</v>
      </c>
      <c r="J523">
        <v>906.36</v>
      </c>
      <c r="K523">
        <v>282.06</v>
      </c>
      <c r="L523" t="s">
        <v>44</v>
      </c>
      <c r="M523">
        <v>0.23730000000000001</v>
      </c>
    </row>
    <row r="524" spans="1:13" x14ac:dyDescent="0.3">
      <c r="A524" t="s">
        <v>561</v>
      </c>
      <c r="B524" s="2">
        <v>45867</v>
      </c>
      <c r="C524" t="s">
        <v>14</v>
      </c>
      <c r="D524" t="s">
        <v>37</v>
      </c>
      <c r="E524" t="s">
        <v>16</v>
      </c>
      <c r="F524">
        <v>5</v>
      </c>
      <c r="G524">
        <v>438.32</v>
      </c>
      <c r="H524">
        <v>0.05</v>
      </c>
      <c r="I524">
        <v>2082.02</v>
      </c>
      <c r="J524">
        <v>1671.61</v>
      </c>
      <c r="K524">
        <v>410.41</v>
      </c>
      <c r="L524" t="s">
        <v>26</v>
      </c>
      <c r="M524">
        <v>0.1971</v>
      </c>
    </row>
    <row r="525" spans="1:13" x14ac:dyDescent="0.3">
      <c r="A525" t="s">
        <v>562</v>
      </c>
      <c r="B525" s="2">
        <v>45750</v>
      </c>
      <c r="C525" t="s">
        <v>24</v>
      </c>
      <c r="D525" t="s">
        <v>37</v>
      </c>
      <c r="E525" t="s">
        <v>16</v>
      </c>
      <c r="F525">
        <v>6</v>
      </c>
      <c r="G525">
        <v>274.17</v>
      </c>
      <c r="H525">
        <v>0</v>
      </c>
      <c r="I525">
        <v>1645.02</v>
      </c>
      <c r="J525">
        <v>1019.55</v>
      </c>
      <c r="K525">
        <v>625.47</v>
      </c>
      <c r="L525" t="s">
        <v>17</v>
      </c>
      <c r="M525">
        <v>0.38019999999999998</v>
      </c>
    </row>
    <row r="526" spans="1:13" x14ac:dyDescent="0.3">
      <c r="A526" t="s">
        <v>563</v>
      </c>
      <c r="B526" s="2">
        <v>45990</v>
      </c>
      <c r="C526" t="s">
        <v>14</v>
      </c>
      <c r="D526" t="s">
        <v>41</v>
      </c>
      <c r="E526" t="s">
        <v>21</v>
      </c>
      <c r="F526">
        <v>5</v>
      </c>
      <c r="G526">
        <v>15.15</v>
      </c>
      <c r="H526">
        <v>0.1</v>
      </c>
      <c r="I526">
        <v>68.180000000000007</v>
      </c>
      <c r="J526">
        <v>55.6</v>
      </c>
      <c r="K526">
        <v>12.58</v>
      </c>
      <c r="L526" t="s">
        <v>35</v>
      </c>
      <c r="M526">
        <v>0.1845</v>
      </c>
    </row>
    <row r="527" spans="1:13" x14ac:dyDescent="0.3">
      <c r="A527" t="s">
        <v>564</v>
      </c>
      <c r="B527" s="2">
        <v>46012</v>
      </c>
      <c r="C527" t="s">
        <v>24</v>
      </c>
      <c r="D527" t="s">
        <v>20</v>
      </c>
      <c r="E527" t="s">
        <v>21</v>
      </c>
      <c r="F527">
        <v>7</v>
      </c>
      <c r="G527">
        <v>47.99</v>
      </c>
      <c r="H527">
        <v>0.15</v>
      </c>
      <c r="I527">
        <v>285.54000000000002</v>
      </c>
      <c r="J527">
        <v>179.11</v>
      </c>
      <c r="K527">
        <v>106.43</v>
      </c>
      <c r="L527" t="s">
        <v>46</v>
      </c>
      <c r="M527">
        <v>0.37269999999999998</v>
      </c>
    </row>
    <row r="528" spans="1:13" x14ac:dyDescent="0.3">
      <c r="A528" t="s">
        <v>565</v>
      </c>
      <c r="B528" s="2">
        <v>45746</v>
      </c>
      <c r="C528" t="s">
        <v>14</v>
      </c>
      <c r="D528" t="s">
        <v>72</v>
      </c>
      <c r="E528" t="s">
        <v>16</v>
      </c>
      <c r="F528">
        <v>3</v>
      </c>
      <c r="G528">
        <v>345.1</v>
      </c>
      <c r="H528">
        <v>0.05</v>
      </c>
      <c r="I528">
        <v>983.54</v>
      </c>
      <c r="J528">
        <v>631.72</v>
      </c>
      <c r="K528">
        <v>351.82</v>
      </c>
      <c r="L528" t="s">
        <v>49</v>
      </c>
      <c r="M528">
        <v>0.35770000000000002</v>
      </c>
    </row>
    <row r="529" spans="1:13" x14ac:dyDescent="0.3">
      <c r="A529" t="s">
        <v>566</v>
      </c>
      <c r="B529" s="2">
        <v>45917</v>
      </c>
      <c r="C529" t="s">
        <v>24</v>
      </c>
      <c r="D529" t="s">
        <v>20</v>
      </c>
      <c r="E529" t="s">
        <v>21</v>
      </c>
      <c r="F529">
        <v>7</v>
      </c>
      <c r="G529">
        <v>31.94</v>
      </c>
      <c r="H529">
        <v>0.05</v>
      </c>
      <c r="I529">
        <v>212.4</v>
      </c>
      <c r="J529">
        <v>173.21</v>
      </c>
      <c r="K529">
        <v>39.19</v>
      </c>
      <c r="L529" t="s">
        <v>38</v>
      </c>
      <c r="M529">
        <v>0.1845</v>
      </c>
    </row>
    <row r="530" spans="1:13" x14ac:dyDescent="0.3">
      <c r="A530" t="s">
        <v>567</v>
      </c>
      <c r="B530" s="2">
        <v>45902</v>
      </c>
      <c r="C530" t="s">
        <v>24</v>
      </c>
      <c r="D530" t="s">
        <v>20</v>
      </c>
      <c r="E530" t="s">
        <v>21</v>
      </c>
      <c r="F530">
        <v>5</v>
      </c>
      <c r="G530">
        <v>111.25</v>
      </c>
      <c r="H530">
        <v>0.15</v>
      </c>
      <c r="I530">
        <v>472.81</v>
      </c>
      <c r="J530">
        <v>383.18</v>
      </c>
      <c r="K530">
        <v>89.63</v>
      </c>
      <c r="L530" t="s">
        <v>38</v>
      </c>
      <c r="M530">
        <v>0.18959999999999999</v>
      </c>
    </row>
    <row r="531" spans="1:13" x14ac:dyDescent="0.3">
      <c r="A531" t="s">
        <v>568</v>
      </c>
      <c r="B531" s="2">
        <v>46009</v>
      </c>
      <c r="C531" t="s">
        <v>24</v>
      </c>
      <c r="D531" t="s">
        <v>37</v>
      </c>
      <c r="E531" t="s">
        <v>16</v>
      </c>
      <c r="F531">
        <v>2</v>
      </c>
      <c r="G531">
        <v>374.77</v>
      </c>
      <c r="H531">
        <v>0</v>
      </c>
      <c r="I531">
        <v>749.54</v>
      </c>
      <c r="J531">
        <v>520.52</v>
      </c>
      <c r="K531">
        <v>229.02</v>
      </c>
      <c r="L531" t="s">
        <v>46</v>
      </c>
      <c r="M531">
        <v>0.30549999999999999</v>
      </c>
    </row>
    <row r="532" spans="1:13" x14ac:dyDescent="0.3">
      <c r="A532" t="s">
        <v>569</v>
      </c>
      <c r="B532" s="2">
        <v>45745</v>
      </c>
      <c r="C532" t="s">
        <v>14</v>
      </c>
      <c r="D532" t="s">
        <v>15</v>
      </c>
      <c r="E532" t="s">
        <v>16</v>
      </c>
      <c r="F532">
        <v>6</v>
      </c>
      <c r="G532">
        <v>481.09</v>
      </c>
      <c r="H532">
        <v>0.05</v>
      </c>
      <c r="I532">
        <v>2742.21</v>
      </c>
      <c r="J532">
        <v>1697.56</v>
      </c>
      <c r="K532">
        <v>1044.6500000000001</v>
      </c>
      <c r="L532" t="s">
        <v>49</v>
      </c>
      <c r="M532">
        <v>0.38100000000000001</v>
      </c>
    </row>
    <row r="533" spans="1:13" x14ac:dyDescent="0.3">
      <c r="A533" t="s">
        <v>570</v>
      </c>
      <c r="B533" s="2">
        <v>45758</v>
      </c>
      <c r="C533" t="s">
        <v>24</v>
      </c>
      <c r="D533" t="s">
        <v>25</v>
      </c>
      <c r="E533" t="s">
        <v>21</v>
      </c>
      <c r="F533">
        <v>5</v>
      </c>
      <c r="G533">
        <v>94.86</v>
      </c>
      <c r="H533">
        <v>0</v>
      </c>
      <c r="I533">
        <v>474.3</v>
      </c>
      <c r="J533">
        <v>276.12</v>
      </c>
      <c r="K533">
        <v>198.18</v>
      </c>
      <c r="L533" t="s">
        <v>17</v>
      </c>
      <c r="M533">
        <v>0.4178</v>
      </c>
    </row>
    <row r="534" spans="1:13" x14ac:dyDescent="0.3">
      <c r="A534" t="s">
        <v>571</v>
      </c>
      <c r="B534" s="2">
        <v>45909</v>
      </c>
      <c r="C534" t="s">
        <v>24</v>
      </c>
      <c r="D534" t="s">
        <v>72</v>
      </c>
      <c r="E534" t="s">
        <v>16</v>
      </c>
      <c r="F534">
        <v>4</v>
      </c>
      <c r="G534">
        <v>149.46</v>
      </c>
      <c r="H534">
        <v>0.05</v>
      </c>
      <c r="I534">
        <v>567.95000000000005</v>
      </c>
      <c r="J534">
        <v>359.68</v>
      </c>
      <c r="K534">
        <v>208.27</v>
      </c>
      <c r="L534" t="s">
        <v>38</v>
      </c>
      <c r="M534">
        <v>0.36670000000000003</v>
      </c>
    </row>
    <row r="535" spans="1:13" x14ac:dyDescent="0.3">
      <c r="A535" t="s">
        <v>572</v>
      </c>
      <c r="B535" s="2">
        <v>46006</v>
      </c>
      <c r="C535" t="s">
        <v>19</v>
      </c>
      <c r="D535" t="s">
        <v>37</v>
      </c>
      <c r="E535" t="s">
        <v>16</v>
      </c>
      <c r="F535">
        <v>7</v>
      </c>
      <c r="G535">
        <v>365.95</v>
      </c>
      <c r="H535">
        <v>0</v>
      </c>
      <c r="I535">
        <v>2561.65</v>
      </c>
      <c r="J535">
        <v>1749.32</v>
      </c>
      <c r="K535">
        <v>812.33</v>
      </c>
      <c r="L535" t="s">
        <v>46</v>
      </c>
      <c r="M535">
        <v>0.31709999999999999</v>
      </c>
    </row>
    <row r="536" spans="1:13" x14ac:dyDescent="0.3">
      <c r="A536" t="s">
        <v>573</v>
      </c>
      <c r="B536" s="2">
        <v>45904</v>
      </c>
      <c r="C536" t="s">
        <v>19</v>
      </c>
      <c r="D536" t="s">
        <v>41</v>
      </c>
      <c r="E536" t="s">
        <v>21</v>
      </c>
      <c r="F536">
        <v>5</v>
      </c>
      <c r="G536">
        <v>12.03</v>
      </c>
      <c r="H536">
        <v>0.15</v>
      </c>
      <c r="I536">
        <v>51.13</v>
      </c>
      <c r="J536">
        <v>31.54</v>
      </c>
      <c r="K536">
        <v>19.59</v>
      </c>
      <c r="L536" t="s">
        <v>38</v>
      </c>
      <c r="M536">
        <v>0.3831</v>
      </c>
    </row>
    <row r="537" spans="1:13" x14ac:dyDescent="0.3">
      <c r="A537" t="s">
        <v>574</v>
      </c>
      <c r="B537" s="2">
        <v>45980</v>
      </c>
      <c r="C537" t="s">
        <v>24</v>
      </c>
      <c r="D537" t="s">
        <v>37</v>
      </c>
      <c r="E537" t="s">
        <v>16</v>
      </c>
      <c r="F537">
        <v>3</v>
      </c>
      <c r="G537">
        <v>293.35000000000002</v>
      </c>
      <c r="H537">
        <v>0.05</v>
      </c>
      <c r="I537">
        <v>836.05</v>
      </c>
      <c r="J537">
        <v>581.53</v>
      </c>
      <c r="K537">
        <v>254.52</v>
      </c>
      <c r="L537" t="s">
        <v>35</v>
      </c>
      <c r="M537">
        <v>0.3044</v>
      </c>
    </row>
    <row r="538" spans="1:13" x14ac:dyDescent="0.3">
      <c r="A538" t="s">
        <v>575</v>
      </c>
      <c r="B538" s="2">
        <v>46003</v>
      </c>
      <c r="C538" t="s">
        <v>14</v>
      </c>
      <c r="D538" t="s">
        <v>41</v>
      </c>
      <c r="E538" t="s">
        <v>21</v>
      </c>
      <c r="F538">
        <v>5</v>
      </c>
      <c r="G538">
        <v>14.05</v>
      </c>
      <c r="H538">
        <v>0</v>
      </c>
      <c r="I538">
        <v>70.25</v>
      </c>
      <c r="J538">
        <v>48.24</v>
      </c>
      <c r="K538">
        <v>22.01</v>
      </c>
      <c r="L538" t="s">
        <v>46</v>
      </c>
      <c r="M538">
        <v>0.31330000000000002</v>
      </c>
    </row>
    <row r="539" spans="1:13" x14ac:dyDescent="0.3">
      <c r="A539" t="s">
        <v>576</v>
      </c>
      <c r="B539" s="2">
        <v>45739</v>
      </c>
      <c r="C539" t="s">
        <v>24</v>
      </c>
      <c r="D539" t="s">
        <v>48</v>
      </c>
      <c r="E539" t="s">
        <v>16</v>
      </c>
      <c r="F539">
        <v>2</v>
      </c>
      <c r="G539">
        <v>1195.0899999999999</v>
      </c>
      <c r="H539">
        <v>0</v>
      </c>
      <c r="I539">
        <v>2390.1799999999998</v>
      </c>
      <c r="J539">
        <v>1715.48</v>
      </c>
      <c r="K539">
        <v>674.7</v>
      </c>
      <c r="L539" t="s">
        <v>49</v>
      </c>
      <c r="M539">
        <v>0.2823</v>
      </c>
    </row>
    <row r="540" spans="1:13" x14ac:dyDescent="0.3">
      <c r="A540" t="s">
        <v>577</v>
      </c>
      <c r="B540" s="2">
        <v>46000</v>
      </c>
      <c r="C540" t="s">
        <v>14</v>
      </c>
      <c r="D540" t="s">
        <v>48</v>
      </c>
      <c r="E540" t="s">
        <v>16</v>
      </c>
      <c r="F540">
        <v>2</v>
      </c>
      <c r="G540">
        <v>1136.45</v>
      </c>
      <c r="H540">
        <v>0.1</v>
      </c>
      <c r="I540">
        <v>2045.61</v>
      </c>
      <c r="J540">
        <v>1664.82</v>
      </c>
      <c r="K540">
        <v>380.79</v>
      </c>
      <c r="L540" t="s">
        <v>46</v>
      </c>
      <c r="M540">
        <v>0.18609999999999999</v>
      </c>
    </row>
    <row r="541" spans="1:13" x14ac:dyDescent="0.3">
      <c r="A541" t="s">
        <v>578</v>
      </c>
      <c r="B541" s="2">
        <v>45935</v>
      </c>
      <c r="C541" t="s">
        <v>14</v>
      </c>
      <c r="D541" t="s">
        <v>20</v>
      </c>
      <c r="E541" t="s">
        <v>21</v>
      </c>
      <c r="F541">
        <v>3</v>
      </c>
      <c r="G541">
        <v>96.42</v>
      </c>
      <c r="H541">
        <v>0</v>
      </c>
      <c r="I541">
        <v>289.26</v>
      </c>
      <c r="J541">
        <v>234.16</v>
      </c>
      <c r="K541">
        <v>55.1</v>
      </c>
      <c r="L541" t="s">
        <v>58</v>
      </c>
      <c r="M541">
        <v>0.1905</v>
      </c>
    </row>
    <row r="542" spans="1:13" x14ac:dyDescent="0.3">
      <c r="A542" t="s">
        <v>579</v>
      </c>
      <c r="B542" s="2">
        <v>45969</v>
      </c>
      <c r="C542" t="s">
        <v>19</v>
      </c>
      <c r="D542" t="s">
        <v>72</v>
      </c>
      <c r="E542" t="s">
        <v>16</v>
      </c>
      <c r="F542">
        <v>5</v>
      </c>
      <c r="G542">
        <v>148.47</v>
      </c>
      <c r="H542">
        <v>0</v>
      </c>
      <c r="I542">
        <v>742.35</v>
      </c>
      <c r="J542">
        <v>558.69000000000005</v>
      </c>
      <c r="K542">
        <v>183.66</v>
      </c>
      <c r="L542" t="s">
        <v>35</v>
      </c>
      <c r="M542">
        <v>0.24740000000000001</v>
      </c>
    </row>
    <row r="543" spans="1:13" x14ac:dyDescent="0.3">
      <c r="A543" t="s">
        <v>580</v>
      </c>
      <c r="B543" s="2">
        <v>45856</v>
      </c>
      <c r="C543" t="s">
        <v>19</v>
      </c>
      <c r="D543" t="s">
        <v>28</v>
      </c>
      <c r="E543" t="s">
        <v>21</v>
      </c>
      <c r="F543">
        <v>3</v>
      </c>
      <c r="G543">
        <v>95.37</v>
      </c>
      <c r="H543">
        <v>0.1</v>
      </c>
      <c r="I543">
        <v>257.5</v>
      </c>
      <c r="J543">
        <v>158.24</v>
      </c>
      <c r="K543">
        <v>99.26</v>
      </c>
      <c r="L543" t="s">
        <v>26</v>
      </c>
      <c r="M543">
        <v>0.38550000000000001</v>
      </c>
    </row>
    <row r="544" spans="1:13" x14ac:dyDescent="0.3">
      <c r="A544" t="s">
        <v>581</v>
      </c>
      <c r="B544" s="2">
        <v>45936</v>
      </c>
      <c r="C544" t="s">
        <v>14</v>
      </c>
      <c r="D544" t="s">
        <v>15</v>
      </c>
      <c r="E544" t="s">
        <v>16</v>
      </c>
      <c r="F544">
        <v>7</v>
      </c>
      <c r="G544">
        <v>577.54999999999995</v>
      </c>
      <c r="H544">
        <v>0</v>
      </c>
      <c r="I544">
        <v>4042.85</v>
      </c>
      <c r="J544">
        <v>3085.28</v>
      </c>
      <c r="K544">
        <v>957.57</v>
      </c>
      <c r="L544" t="s">
        <v>58</v>
      </c>
      <c r="M544">
        <v>0.2369</v>
      </c>
    </row>
    <row r="545" spans="1:13" x14ac:dyDescent="0.3">
      <c r="A545" t="s">
        <v>582</v>
      </c>
      <c r="B545" s="2">
        <v>45804</v>
      </c>
      <c r="C545" t="s">
        <v>24</v>
      </c>
      <c r="D545" t="s">
        <v>41</v>
      </c>
      <c r="E545" t="s">
        <v>21</v>
      </c>
      <c r="F545">
        <v>7</v>
      </c>
      <c r="G545">
        <v>46.3</v>
      </c>
      <c r="H545">
        <v>0</v>
      </c>
      <c r="I545">
        <v>324.10000000000002</v>
      </c>
      <c r="J545">
        <v>207.84</v>
      </c>
      <c r="K545">
        <v>116.26</v>
      </c>
      <c r="L545" t="s">
        <v>33</v>
      </c>
      <c r="M545">
        <v>0.35870000000000002</v>
      </c>
    </row>
    <row r="546" spans="1:13" x14ac:dyDescent="0.3">
      <c r="A546" t="s">
        <v>583</v>
      </c>
      <c r="B546" s="2">
        <v>45928</v>
      </c>
      <c r="C546" t="s">
        <v>19</v>
      </c>
      <c r="D546" t="s">
        <v>15</v>
      </c>
      <c r="E546" t="s">
        <v>16</v>
      </c>
      <c r="F546">
        <v>6</v>
      </c>
      <c r="G546">
        <v>277.33</v>
      </c>
      <c r="H546">
        <v>0</v>
      </c>
      <c r="I546">
        <v>1663.98</v>
      </c>
      <c r="J546">
        <v>992.67</v>
      </c>
      <c r="K546">
        <v>671.31</v>
      </c>
      <c r="L546" t="s">
        <v>38</v>
      </c>
      <c r="M546">
        <v>0.40339999999999998</v>
      </c>
    </row>
    <row r="547" spans="1:13" x14ac:dyDescent="0.3">
      <c r="A547" t="s">
        <v>584</v>
      </c>
      <c r="B547" s="2">
        <v>45846</v>
      </c>
      <c r="C547" t="s">
        <v>24</v>
      </c>
      <c r="D547" t="s">
        <v>28</v>
      </c>
      <c r="E547" t="s">
        <v>21</v>
      </c>
      <c r="F547">
        <v>1</v>
      </c>
      <c r="G547">
        <v>110.74</v>
      </c>
      <c r="H547">
        <v>0.1</v>
      </c>
      <c r="I547">
        <v>99.67</v>
      </c>
      <c r="J547">
        <v>77.8</v>
      </c>
      <c r="K547">
        <v>21.87</v>
      </c>
      <c r="L547" t="s">
        <v>26</v>
      </c>
      <c r="M547">
        <v>0.21940000000000001</v>
      </c>
    </row>
    <row r="548" spans="1:13" x14ac:dyDescent="0.3">
      <c r="A548" t="s">
        <v>585</v>
      </c>
      <c r="B548" s="2">
        <v>45838</v>
      </c>
      <c r="C548" t="s">
        <v>24</v>
      </c>
      <c r="D548" t="s">
        <v>37</v>
      </c>
      <c r="E548" t="s">
        <v>16</v>
      </c>
      <c r="F548">
        <v>5</v>
      </c>
      <c r="G548">
        <v>379.05</v>
      </c>
      <c r="H548">
        <v>0.05</v>
      </c>
      <c r="I548">
        <v>1800.49</v>
      </c>
      <c r="J548">
        <v>1109.79</v>
      </c>
      <c r="K548">
        <v>690.7</v>
      </c>
      <c r="L548" t="s">
        <v>22</v>
      </c>
      <c r="M548">
        <v>0.3836</v>
      </c>
    </row>
    <row r="549" spans="1:13" x14ac:dyDescent="0.3">
      <c r="A549" t="s">
        <v>586</v>
      </c>
      <c r="B549" s="2">
        <v>45826</v>
      </c>
      <c r="C549" t="s">
        <v>32</v>
      </c>
      <c r="D549" t="s">
        <v>41</v>
      </c>
      <c r="E549" t="s">
        <v>21</v>
      </c>
      <c r="F549">
        <v>7</v>
      </c>
      <c r="G549">
        <v>70.650000000000006</v>
      </c>
      <c r="H549">
        <v>0</v>
      </c>
      <c r="I549">
        <v>494.55</v>
      </c>
      <c r="J549">
        <v>351.73</v>
      </c>
      <c r="K549">
        <v>142.82</v>
      </c>
      <c r="L549" t="s">
        <v>22</v>
      </c>
      <c r="M549">
        <v>0.2888</v>
      </c>
    </row>
    <row r="550" spans="1:13" x14ac:dyDescent="0.3">
      <c r="A550" t="s">
        <v>587</v>
      </c>
      <c r="B550" s="2">
        <v>45825</v>
      </c>
      <c r="C550" t="s">
        <v>19</v>
      </c>
      <c r="D550" t="s">
        <v>28</v>
      </c>
      <c r="E550" t="s">
        <v>21</v>
      </c>
      <c r="F550">
        <v>1</v>
      </c>
      <c r="G550">
        <v>46.35</v>
      </c>
      <c r="H550">
        <v>0</v>
      </c>
      <c r="I550">
        <v>46.35</v>
      </c>
      <c r="J550">
        <v>34.93</v>
      </c>
      <c r="K550">
        <v>11.42</v>
      </c>
      <c r="L550" t="s">
        <v>22</v>
      </c>
      <c r="M550">
        <v>0.24640000000000001</v>
      </c>
    </row>
    <row r="551" spans="1:13" x14ac:dyDescent="0.3">
      <c r="A551" t="s">
        <v>588</v>
      </c>
      <c r="B551" s="2">
        <v>45999</v>
      </c>
      <c r="C551" t="s">
        <v>19</v>
      </c>
      <c r="D551" t="s">
        <v>15</v>
      </c>
      <c r="E551" t="s">
        <v>16</v>
      </c>
      <c r="F551">
        <v>6</v>
      </c>
      <c r="G551">
        <v>184.74</v>
      </c>
      <c r="H551">
        <v>0</v>
      </c>
      <c r="I551">
        <v>1108.44</v>
      </c>
      <c r="J551">
        <v>877.73</v>
      </c>
      <c r="K551">
        <v>230.71</v>
      </c>
      <c r="L551" t="s">
        <v>46</v>
      </c>
      <c r="M551">
        <v>0.20810000000000001</v>
      </c>
    </row>
    <row r="552" spans="1:13" x14ac:dyDescent="0.3">
      <c r="A552" t="s">
        <v>589</v>
      </c>
      <c r="B552" s="2">
        <v>45826</v>
      </c>
      <c r="C552" t="s">
        <v>32</v>
      </c>
      <c r="D552" t="s">
        <v>41</v>
      </c>
      <c r="E552" t="s">
        <v>21</v>
      </c>
      <c r="F552">
        <v>4</v>
      </c>
      <c r="G552">
        <v>31.54</v>
      </c>
      <c r="H552">
        <v>0.1</v>
      </c>
      <c r="I552">
        <v>113.54</v>
      </c>
      <c r="J552">
        <v>83.31</v>
      </c>
      <c r="K552">
        <v>30.23</v>
      </c>
      <c r="L552" t="s">
        <v>22</v>
      </c>
      <c r="M552">
        <v>0.26619999999999999</v>
      </c>
    </row>
    <row r="553" spans="1:13" x14ac:dyDescent="0.3">
      <c r="A553" t="s">
        <v>590</v>
      </c>
      <c r="B553" s="2">
        <v>45769</v>
      </c>
      <c r="C553" t="s">
        <v>19</v>
      </c>
      <c r="D553" t="s">
        <v>28</v>
      </c>
      <c r="E553" t="s">
        <v>21</v>
      </c>
      <c r="F553">
        <v>7</v>
      </c>
      <c r="G553">
        <v>147.78</v>
      </c>
      <c r="H553">
        <v>0.1</v>
      </c>
      <c r="I553">
        <v>931.01</v>
      </c>
      <c r="J553">
        <v>722.77</v>
      </c>
      <c r="K553">
        <v>208.24</v>
      </c>
      <c r="L553" t="s">
        <v>17</v>
      </c>
      <c r="M553">
        <v>0.22370000000000001</v>
      </c>
    </row>
    <row r="554" spans="1:13" x14ac:dyDescent="0.3">
      <c r="A554" t="s">
        <v>591</v>
      </c>
      <c r="B554" s="2">
        <v>45885</v>
      </c>
      <c r="C554" t="s">
        <v>19</v>
      </c>
      <c r="D554" t="s">
        <v>20</v>
      </c>
      <c r="E554" t="s">
        <v>21</v>
      </c>
      <c r="F554">
        <v>6</v>
      </c>
      <c r="G554">
        <v>36.909999999999997</v>
      </c>
      <c r="H554">
        <v>0</v>
      </c>
      <c r="I554">
        <v>221.46</v>
      </c>
      <c r="J554">
        <v>181.57</v>
      </c>
      <c r="K554">
        <v>39.89</v>
      </c>
      <c r="L554" t="s">
        <v>44</v>
      </c>
      <c r="M554">
        <v>0.18010000000000001</v>
      </c>
    </row>
    <row r="555" spans="1:13" x14ac:dyDescent="0.3">
      <c r="A555" t="s">
        <v>592</v>
      </c>
      <c r="B555" s="2">
        <v>45716</v>
      </c>
      <c r="C555" t="s">
        <v>19</v>
      </c>
      <c r="D555" t="s">
        <v>72</v>
      </c>
      <c r="E555" t="s">
        <v>16</v>
      </c>
      <c r="F555">
        <v>6</v>
      </c>
      <c r="G555">
        <v>192.23</v>
      </c>
      <c r="H555">
        <v>0.05</v>
      </c>
      <c r="I555">
        <v>1095.71</v>
      </c>
      <c r="J555">
        <v>809.34</v>
      </c>
      <c r="K555">
        <v>286.37</v>
      </c>
      <c r="L555" t="s">
        <v>29</v>
      </c>
      <c r="M555">
        <v>0.26140000000000002</v>
      </c>
    </row>
    <row r="556" spans="1:13" x14ac:dyDescent="0.3">
      <c r="A556" t="s">
        <v>593</v>
      </c>
      <c r="B556" s="2">
        <v>45666</v>
      </c>
      <c r="C556" t="s">
        <v>32</v>
      </c>
      <c r="D556" t="s">
        <v>15</v>
      </c>
      <c r="E556" t="s">
        <v>16</v>
      </c>
      <c r="F556">
        <v>2</v>
      </c>
      <c r="G556">
        <v>513.38</v>
      </c>
      <c r="H556">
        <v>0</v>
      </c>
      <c r="I556">
        <v>1026.76</v>
      </c>
      <c r="J556">
        <v>787.89</v>
      </c>
      <c r="K556">
        <v>238.87</v>
      </c>
      <c r="L556" t="s">
        <v>65</v>
      </c>
      <c r="M556">
        <v>0.2326</v>
      </c>
    </row>
    <row r="557" spans="1:13" x14ac:dyDescent="0.3">
      <c r="A557" t="s">
        <v>594</v>
      </c>
      <c r="B557" s="2">
        <v>45768</v>
      </c>
      <c r="C557" t="s">
        <v>32</v>
      </c>
      <c r="D557" t="s">
        <v>20</v>
      </c>
      <c r="E557" t="s">
        <v>21</v>
      </c>
      <c r="F557">
        <v>2</v>
      </c>
      <c r="G557">
        <v>70.78</v>
      </c>
      <c r="H557">
        <v>0</v>
      </c>
      <c r="I557">
        <v>141.56</v>
      </c>
      <c r="J557">
        <v>114.35</v>
      </c>
      <c r="K557">
        <v>27.21</v>
      </c>
      <c r="L557" t="s">
        <v>17</v>
      </c>
      <c r="M557">
        <v>0.19220000000000001</v>
      </c>
    </row>
    <row r="558" spans="1:13" x14ac:dyDescent="0.3">
      <c r="A558" t="s">
        <v>595</v>
      </c>
      <c r="B558" s="2">
        <v>45708</v>
      </c>
      <c r="C558" t="s">
        <v>24</v>
      </c>
      <c r="D558" t="s">
        <v>20</v>
      </c>
      <c r="E558" t="s">
        <v>21</v>
      </c>
      <c r="F558">
        <v>5</v>
      </c>
      <c r="G558">
        <v>78.209999999999994</v>
      </c>
      <c r="H558">
        <v>0.1</v>
      </c>
      <c r="I558">
        <v>351.94</v>
      </c>
      <c r="J558">
        <v>263.97000000000003</v>
      </c>
      <c r="K558">
        <v>87.97</v>
      </c>
      <c r="L558" t="s">
        <v>29</v>
      </c>
      <c r="M558">
        <v>0.25</v>
      </c>
    </row>
    <row r="559" spans="1:13" x14ac:dyDescent="0.3">
      <c r="A559" t="s">
        <v>596</v>
      </c>
      <c r="B559" s="2">
        <v>45855</v>
      </c>
      <c r="C559" t="s">
        <v>32</v>
      </c>
      <c r="D559" t="s">
        <v>48</v>
      </c>
      <c r="E559" t="s">
        <v>16</v>
      </c>
      <c r="F559">
        <v>1</v>
      </c>
      <c r="G559">
        <v>841.73</v>
      </c>
      <c r="H559">
        <v>0</v>
      </c>
      <c r="I559">
        <v>841.73</v>
      </c>
      <c r="J559">
        <v>524.61</v>
      </c>
      <c r="K559">
        <v>317.12</v>
      </c>
      <c r="L559" t="s">
        <v>26</v>
      </c>
      <c r="M559">
        <v>0.37669999999999998</v>
      </c>
    </row>
    <row r="560" spans="1:13" x14ac:dyDescent="0.3">
      <c r="A560" t="s">
        <v>597</v>
      </c>
      <c r="B560" s="2">
        <v>45908</v>
      </c>
      <c r="C560" t="s">
        <v>32</v>
      </c>
      <c r="D560" t="s">
        <v>15</v>
      </c>
      <c r="E560" t="s">
        <v>16</v>
      </c>
      <c r="F560">
        <v>7</v>
      </c>
      <c r="G560">
        <v>238.81</v>
      </c>
      <c r="H560">
        <v>0.1</v>
      </c>
      <c r="I560">
        <v>1504.5</v>
      </c>
      <c r="J560">
        <v>997.04</v>
      </c>
      <c r="K560">
        <v>507.46</v>
      </c>
      <c r="L560" t="s">
        <v>38</v>
      </c>
      <c r="M560">
        <v>0.33729999999999999</v>
      </c>
    </row>
    <row r="561" spans="1:13" x14ac:dyDescent="0.3">
      <c r="A561" t="s">
        <v>598</v>
      </c>
      <c r="B561" s="2">
        <v>45660</v>
      </c>
      <c r="C561" t="s">
        <v>32</v>
      </c>
      <c r="D561" t="s">
        <v>28</v>
      </c>
      <c r="E561" t="s">
        <v>21</v>
      </c>
      <c r="F561">
        <v>1</v>
      </c>
      <c r="G561">
        <v>98.89</v>
      </c>
      <c r="H561">
        <v>0</v>
      </c>
      <c r="I561">
        <v>98.89</v>
      </c>
      <c r="J561">
        <v>80.58</v>
      </c>
      <c r="K561">
        <v>18.309999999999999</v>
      </c>
      <c r="L561" t="s">
        <v>65</v>
      </c>
      <c r="M561">
        <v>0.1852</v>
      </c>
    </row>
    <row r="562" spans="1:13" x14ac:dyDescent="0.3">
      <c r="A562" t="s">
        <v>599</v>
      </c>
      <c r="B562" s="2">
        <v>45722</v>
      </c>
      <c r="C562" t="s">
        <v>32</v>
      </c>
      <c r="D562" t="s">
        <v>15</v>
      </c>
      <c r="E562" t="s">
        <v>16</v>
      </c>
      <c r="F562">
        <v>1</v>
      </c>
      <c r="G562">
        <v>521.72</v>
      </c>
      <c r="H562">
        <v>0.05</v>
      </c>
      <c r="I562">
        <v>495.63</v>
      </c>
      <c r="J562">
        <v>400.12</v>
      </c>
      <c r="K562">
        <v>95.51</v>
      </c>
      <c r="L562" t="s">
        <v>49</v>
      </c>
      <c r="M562">
        <v>0.19270000000000001</v>
      </c>
    </row>
    <row r="563" spans="1:13" x14ac:dyDescent="0.3">
      <c r="A563" t="s">
        <v>600</v>
      </c>
      <c r="B563" s="2">
        <v>45996</v>
      </c>
      <c r="C563" t="s">
        <v>19</v>
      </c>
      <c r="D563" t="s">
        <v>20</v>
      </c>
      <c r="E563" t="s">
        <v>21</v>
      </c>
      <c r="F563">
        <v>2</v>
      </c>
      <c r="G563">
        <v>40.49</v>
      </c>
      <c r="H563">
        <v>0.1</v>
      </c>
      <c r="I563">
        <v>72.88</v>
      </c>
      <c r="J563">
        <v>55.12</v>
      </c>
      <c r="K563">
        <v>17.760000000000002</v>
      </c>
      <c r="L563" t="s">
        <v>46</v>
      </c>
      <c r="M563">
        <v>0.2437</v>
      </c>
    </row>
    <row r="564" spans="1:13" x14ac:dyDescent="0.3">
      <c r="A564" t="s">
        <v>601</v>
      </c>
      <c r="B564" s="2">
        <v>45846</v>
      </c>
      <c r="C564" t="s">
        <v>19</v>
      </c>
      <c r="D564" t="s">
        <v>41</v>
      </c>
      <c r="E564" t="s">
        <v>21</v>
      </c>
      <c r="F564">
        <v>3</v>
      </c>
      <c r="G564">
        <v>12.72</v>
      </c>
      <c r="H564">
        <v>0.1</v>
      </c>
      <c r="I564">
        <v>34.340000000000003</v>
      </c>
      <c r="J564">
        <v>27.91</v>
      </c>
      <c r="K564">
        <v>6.43</v>
      </c>
      <c r="L564" t="s">
        <v>26</v>
      </c>
      <c r="M564">
        <v>0.18720000000000001</v>
      </c>
    </row>
    <row r="565" spans="1:13" x14ac:dyDescent="0.3">
      <c r="A565" t="s">
        <v>602</v>
      </c>
      <c r="B565" s="2">
        <v>45825</v>
      </c>
      <c r="C565" t="s">
        <v>19</v>
      </c>
      <c r="D565" t="s">
        <v>41</v>
      </c>
      <c r="E565" t="s">
        <v>21</v>
      </c>
      <c r="F565">
        <v>3</v>
      </c>
      <c r="G565">
        <v>43.57</v>
      </c>
      <c r="H565">
        <v>0.1</v>
      </c>
      <c r="I565">
        <v>117.64</v>
      </c>
      <c r="J565">
        <v>83.32</v>
      </c>
      <c r="K565">
        <v>34.32</v>
      </c>
      <c r="L565" t="s">
        <v>22</v>
      </c>
      <c r="M565">
        <v>0.29170000000000001</v>
      </c>
    </row>
    <row r="566" spans="1:13" x14ac:dyDescent="0.3">
      <c r="A566" t="s">
        <v>603</v>
      </c>
      <c r="B566" s="2">
        <v>45897</v>
      </c>
      <c r="C566" t="s">
        <v>24</v>
      </c>
      <c r="D566" t="s">
        <v>28</v>
      </c>
      <c r="E566" t="s">
        <v>21</v>
      </c>
      <c r="F566">
        <v>1</v>
      </c>
      <c r="G566">
        <v>92.13</v>
      </c>
      <c r="H566">
        <v>0.05</v>
      </c>
      <c r="I566">
        <v>87.52</v>
      </c>
      <c r="J566">
        <v>53.25</v>
      </c>
      <c r="K566">
        <v>34.270000000000003</v>
      </c>
      <c r="L566" t="s">
        <v>44</v>
      </c>
      <c r="M566">
        <v>0.3916</v>
      </c>
    </row>
    <row r="567" spans="1:13" x14ac:dyDescent="0.3">
      <c r="A567" t="s">
        <v>604</v>
      </c>
      <c r="B567" s="2">
        <v>45746</v>
      </c>
      <c r="C567" t="s">
        <v>24</v>
      </c>
      <c r="D567" t="s">
        <v>25</v>
      </c>
      <c r="E567" t="s">
        <v>21</v>
      </c>
      <c r="F567">
        <v>3</v>
      </c>
      <c r="G567">
        <v>153.82</v>
      </c>
      <c r="H567">
        <v>0</v>
      </c>
      <c r="I567">
        <v>461.46</v>
      </c>
      <c r="J567">
        <v>365.03</v>
      </c>
      <c r="K567">
        <v>96.43</v>
      </c>
      <c r="L567" t="s">
        <v>49</v>
      </c>
      <c r="M567">
        <v>0.20899999999999999</v>
      </c>
    </row>
    <row r="568" spans="1:13" x14ac:dyDescent="0.3">
      <c r="A568" t="s">
        <v>605</v>
      </c>
      <c r="B568" s="2">
        <v>45970</v>
      </c>
      <c r="C568" t="s">
        <v>32</v>
      </c>
      <c r="D568" t="s">
        <v>15</v>
      </c>
      <c r="E568" t="s">
        <v>16</v>
      </c>
      <c r="F568">
        <v>4</v>
      </c>
      <c r="G568">
        <v>473.76</v>
      </c>
      <c r="H568">
        <v>0</v>
      </c>
      <c r="I568">
        <v>1895.04</v>
      </c>
      <c r="J568">
        <v>1470.43</v>
      </c>
      <c r="K568">
        <v>424.61</v>
      </c>
      <c r="L568" t="s">
        <v>35</v>
      </c>
      <c r="M568">
        <v>0.22409999999999999</v>
      </c>
    </row>
    <row r="569" spans="1:13" x14ac:dyDescent="0.3">
      <c r="A569" t="s">
        <v>606</v>
      </c>
      <c r="B569" s="2">
        <v>45740</v>
      </c>
      <c r="C569" t="s">
        <v>19</v>
      </c>
      <c r="D569" t="s">
        <v>72</v>
      </c>
      <c r="E569" t="s">
        <v>16</v>
      </c>
      <c r="F569">
        <v>7</v>
      </c>
      <c r="G569">
        <v>171.34</v>
      </c>
      <c r="H569">
        <v>0.15</v>
      </c>
      <c r="I569">
        <v>1019.47</v>
      </c>
      <c r="J569">
        <v>799.43</v>
      </c>
      <c r="K569">
        <v>220.04</v>
      </c>
      <c r="L569" t="s">
        <v>49</v>
      </c>
      <c r="M569">
        <v>0.21579999999999999</v>
      </c>
    </row>
    <row r="570" spans="1:13" x14ac:dyDescent="0.3">
      <c r="A570" t="s">
        <v>607</v>
      </c>
      <c r="B570" s="2">
        <v>45783</v>
      </c>
      <c r="C570" t="s">
        <v>32</v>
      </c>
      <c r="D570" t="s">
        <v>37</v>
      </c>
      <c r="E570" t="s">
        <v>16</v>
      </c>
      <c r="F570">
        <v>4</v>
      </c>
      <c r="G570">
        <v>348.95</v>
      </c>
      <c r="H570">
        <v>0</v>
      </c>
      <c r="I570">
        <v>1395.8</v>
      </c>
      <c r="J570">
        <v>993.43</v>
      </c>
      <c r="K570">
        <v>402.37</v>
      </c>
      <c r="L570" t="s">
        <v>33</v>
      </c>
      <c r="M570">
        <v>0.2883</v>
      </c>
    </row>
    <row r="571" spans="1:13" x14ac:dyDescent="0.3">
      <c r="A571" t="s">
        <v>608</v>
      </c>
      <c r="B571" s="2">
        <v>45714</v>
      </c>
      <c r="C571" t="s">
        <v>24</v>
      </c>
      <c r="D571" t="s">
        <v>20</v>
      </c>
      <c r="E571" t="s">
        <v>21</v>
      </c>
      <c r="F571">
        <v>5</v>
      </c>
      <c r="G571">
        <v>58.53</v>
      </c>
      <c r="H571">
        <v>0.05</v>
      </c>
      <c r="I571">
        <v>278.02</v>
      </c>
      <c r="J571">
        <v>183.54</v>
      </c>
      <c r="K571">
        <v>94.48</v>
      </c>
      <c r="L571" t="s">
        <v>29</v>
      </c>
      <c r="M571">
        <v>0.33979999999999999</v>
      </c>
    </row>
    <row r="572" spans="1:13" x14ac:dyDescent="0.3">
      <c r="A572" t="s">
        <v>609</v>
      </c>
      <c r="B572" s="2">
        <v>45676</v>
      </c>
      <c r="C572" t="s">
        <v>14</v>
      </c>
      <c r="D572" t="s">
        <v>25</v>
      </c>
      <c r="E572" t="s">
        <v>21</v>
      </c>
      <c r="F572">
        <v>5</v>
      </c>
      <c r="G572">
        <v>38.89</v>
      </c>
      <c r="H572">
        <v>0.1</v>
      </c>
      <c r="I572">
        <v>175</v>
      </c>
      <c r="J572">
        <v>113.5</v>
      </c>
      <c r="K572">
        <v>61.5</v>
      </c>
      <c r="L572" t="s">
        <v>65</v>
      </c>
      <c r="M572">
        <v>0.35139999999999999</v>
      </c>
    </row>
    <row r="573" spans="1:13" x14ac:dyDescent="0.3">
      <c r="A573" t="s">
        <v>610</v>
      </c>
      <c r="B573" s="2">
        <v>45798</v>
      </c>
      <c r="C573" t="s">
        <v>24</v>
      </c>
      <c r="D573" t="s">
        <v>28</v>
      </c>
      <c r="E573" t="s">
        <v>21</v>
      </c>
      <c r="F573">
        <v>3</v>
      </c>
      <c r="G573">
        <v>45.47</v>
      </c>
      <c r="H573">
        <v>0</v>
      </c>
      <c r="I573">
        <v>136.41</v>
      </c>
      <c r="J573">
        <v>110.04</v>
      </c>
      <c r="K573">
        <v>26.37</v>
      </c>
      <c r="L573" t="s">
        <v>33</v>
      </c>
      <c r="M573">
        <v>0.1933</v>
      </c>
    </row>
    <row r="574" spans="1:13" x14ac:dyDescent="0.3">
      <c r="A574" t="s">
        <v>611</v>
      </c>
      <c r="B574" s="2">
        <v>45967</v>
      </c>
      <c r="C574" t="s">
        <v>32</v>
      </c>
      <c r="D574" t="s">
        <v>25</v>
      </c>
      <c r="E574" t="s">
        <v>21</v>
      </c>
      <c r="F574">
        <v>7</v>
      </c>
      <c r="G574">
        <v>112.2</v>
      </c>
      <c r="H574">
        <v>0</v>
      </c>
      <c r="I574">
        <v>785.4</v>
      </c>
      <c r="J574">
        <v>534.39</v>
      </c>
      <c r="K574">
        <v>251.01</v>
      </c>
      <c r="L574" t="s">
        <v>35</v>
      </c>
      <c r="M574">
        <v>0.3196</v>
      </c>
    </row>
    <row r="575" spans="1:13" x14ac:dyDescent="0.3">
      <c r="A575" t="s">
        <v>612</v>
      </c>
      <c r="B575" s="2">
        <v>45714</v>
      </c>
      <c r="C575" t="s">
        <v>24</v>
      </c>
      <c r="D575" t="s">
        <v>72</v>
      </c>
      <c r="E575" t="s">
        <v>16</v>
      </c>
      <c r="F575">
        <v>4</v>
      </c>
      <c r="G575">
        <v>162.24</v>
      </c>
      <c r="H575">
        <v>0</v>
      </c>
      <c r="I575">
        <v>648.96</v>
      </c>
      <c r="J575">
        <v>443.68</v>
      </c>
      <c r="K575">
        <v>205.28</v>
      </c>
      <c r="L575" t="s">
        <v>29</v>
      </c>
      <c r="M575">
        <v>0.31630000000000003</v>
      </c>
    </row>
    <row r="576" spans="1:13" x14ac:dyDescent="0.3">
      <c r="A576" t="s">
        <v>613</v>
      </c>
      <c r="B576" s="2">
        <v>45982</v>
      </c>
      <c r="C576" t="s">
        <v>24</v>
      </c>
      <c r="D576" t="s">
        <v>37</v>
      </c>
      <c r="E576" t="s">
        <v>16</v>
      </c>
      <c r="F576">
        <v>6</v>
      </c>
      <c r="G576">
        <v>300.8</v>
      </c>
      <c r="H576">
        <v>0</v>
      </c>
      <c r="I576">
        <v>1804.8</v>
      </c>
      <c r="J576">
        <v>1467.23</v>
      </c>
      <c r="K576">
        <v>337.57</v>
      </c>
      <c r="L576" t="s">
        <v>35</v>
      </c>
      <c r="M576">
        <v>0.187</v>
      </c>
    </row>
    <row r="577" spans="1:13" x14ac:dyDescent="0.3">
      <c r="A577" t="s">
        <v>614</v>
      </c>
      <c r="B577" s="2">
        <v>45876</v>
      </c>
      <c r="C577" t="s">
        <v>32</v>
      </c>
      <c r="D577" t="s">
        <v>25</v>
      </c>
      <c r="E577" t="s">
        <v>21</v>
      </c>
      <c r="F577">
        <v>1</v>
      </c>
      <c r="G577">
        <v>125.93</v>
      </c>
      <c r="H577">
        <v>0.1</v>
      </c>
      <c r="I577">
        <v>113.34</v>
      </c>
      <c r="J577">
        <v>77.239999999999995</v>
      </c>
      <c r="K577">
        <v>36.1</v>
      </c>
      <c r="L577" t="s">
        <v>44</v>
      </c>
      <c r="M577">
        <v>0.31850000000000001</v>
      </c>
    </row>
    <row r="578" spans="1:13" x14ac:dyDescent="0.3">
      <c r="A578" t="s">
        <v>615</v>
      </c>
      <c r="B578" s="2">
        <v>45865</v>
      </c>
      <c r="C578" t="s">
        <v>14</v>
      </c>
      <c r="D578" t="s">
        <v>41</v>
      </c>
      <c r="E578" t="s">
        <v>21</v>
      </c>
      <c r="F578">
        <v>7</v>
      </c>
      <c r="G578">
        <v>28.65</v>
      </c>
      <c r="H578">
        <v>0</v>
      </c>
      <c r="I578">
        <v>200.55</v>
      </c>
      <c r="J578">
        <v>139.57</v>
      </c>
      <c r="K578">
        <v>60.98</v>
      </c>
      <c r="L578" t="s">
        <v>26</v>
      </c>
      <c r="M578">
        <v>0.30409999999999998</v>
      </c>
    </row>
    <row r="579" spans="1:13" x14ac:dyDescent="0.3">
      <c r="A579" t="s">
        <v>616</v>
      </c>
      <c r="B579" s="2">
        <v>45876</v>
      </c>
      <c r="C579" t="s">
        <v>32</v>
      </c>
      <c r="D579" t="s">
        <v>41</v>
      </c>
      <c r="E579" t="s">
        <v>21</v>
      </c>
      <c r="F579">
        <v>2</v>
      </c>
      <c r="G579">
        <v>55.46</v>
      </c>
      <c r="H579">
        <v>0</v>
      </c>
      <c r="I579">
        <v>110.92</v>
      </c>
      <c r="J579">
        <v>80.180000000000007</v>
      </c>
      <c r="K579">
        <v>30.74</v>
      </c>
      <c r="L579" t="s">
        <v>44</v>
      </c>
      <c r="M579">
        <v>0.27710000000000001</v>
      </c>
    </row>
    <row r="580" spans="1:13" x14ac:dyDescent="0.3">
      <c r="A580" t="s">
        <v>617</v>
      </c>
      <c r="B580" s="2">
        <v>45741</v>
      </c>
      <c r="C580" t="s">
        <v>19</v>
      </c>
      <c r="D580" t="s">
        <v>15</v>
      </c>
      <c r="E580" t="s">
        <v>16</v>
      </c>
      <c r="F580">
        <v>6</v>
      </c>
      <c r="G580">
        <v>212.12</v>
      </c>
      <c r="H580">
        <v>0</v>
      </c>
      <c r="I580">
        <v>1272.72</v>
      </c>
      <c r="J580">
        <v>950.71</v>
      </c>
      <c r="K580">
        <v>322.01</v>
      </c>
      <c r="L580" t="s">
        <v>49</v>
      </c>
      <c r="M580">
        <v>0.253</v>
      </c>
    </row>
    <row r="581" spans="1:13" x14ac:dyDescent="0.3">
      <c r="A581" t="s">
        <v>618</v>
      </c>
      <c r="B581" s="2">
        <v>45864</v>
      </c>
      <c r="C581" t="s">
        <v>19</v>
      </c>
      <c r="D581" t="s">
        <v>15</v>
      </c>
      <c r="E581" t="s">
        <v>16</v>
      </c>
      <c r="F581">
        <v>2</v>
      </c>
      <c r="G581">
        <v>305.68</v>
      </c>
      <c r="H581">
        <v>0</v>
      </c>
      <c r="I581">
        <v>611.36</v>
      </c>
      <c r="J581">
        <v>496.18</v>
      </c>
      <c r="K581">
        <v>115.18</v>
      </c>
      <c r="L581" t="s">
        <v>26</v>
      </c>
      <c r="M581">
        <v>0.18840000000000001</v>
      </c>
    </row>
    <row r="582" spans="1:13" x14ac:dyDescent="0.3">
      <c r="A582" t="s">
        <v>619</v>
      </c>
      <c r="B582" s="2">
        <v>45757</v>
      </c>
      <c r="C582" t="s">
        <v>19</v>
      </c>
      <c r="D582" t="s">
        <v>37</v>
      </c>
      <c r="E582" t="s">
        <v>16</v>
      </c>
      <c r="F582">
        <v>1</v>
      </c>
      <c r="G582">
        <v>359.06</v>
      </c>
      <c r="H582">
        <v>0.05</v>
      </c>
      <c r="I582">
        <v>341.11</v>
      </c>
      <c r="J582">
        <v>223.46</v>
      </c>
      <c r="K582">
        <v>117.65</v>
      </c>
      <c r="L582" t="s">
        <v>17</v>
      </c>
      <c r="M582">
        <v>0.34489999999999998</v>
      </c>
    </row>
    <row r="583" spans="1:13" x14ac:dyDescent="0.3">
      <c r="A583" t="s">
        <v>620</v>
      </c>
      <c r="B583" s="2">
        <v>45923</v>
      </c>
      <c r="C583" t="s">
        <v>32</v>
      </c>
      <c r="D583" t="s">
        <v>41</v>
      </c>
      <c r="E583" t="s">
        <v>21</v>
      </c>
      <c r="F583">
        <v>2</v>
      </c>
      <c r="G583">
        <v>66.56</v>
      </c>
      <c r="H583">
        <v>0.15</v>
      </c>
      <c r="I583">
        <v>113.15</v>
      </c>
      <c r="J583">
        <v>68.5</v>
      </c>
      <c r="K583">
        <v>44.65</v>
      </c>
      <c r="L583" t="s">
        <v>38</v>
      </c>
      <c r="M583">
        <v>0.39460000000000001</v>
      </c>
    </row>
    <row r="584" spans="1:13" x14ac:dyDescent="0.3">
      <c r="A584" t="s">
        <v>621</v>
      </c>
      <c r="B584" s="2">
        <v>45935</v>
      </c>
      <c r="C584" t="s">
        <v>24</v>
      </c>
      <c r="D584" t="s">
        <v>15</v>
      </c>
      <c r="E584" t="s">
        <v>16</v>
      </c>
      <c r="F584">
        <v>3</v>
      </c>
      <c r="G584">
        <v>526.16999999999996</v>
      </c>
      <c r="H584">
        <v>0.1</v>
      </c>
      <c r="I584">
        <v>1420.66</v>
      </c>
      <c r="J584">
        <v>893.07</v>
      </c>
      <c r="K584">
        <v>527.59</v>
      </c>
      <c r="L584" t="s">
        <v>58</v>
      </c>
      <c r="M584">
        <v>0.37140000000000001</v>
      </c>
    </row>
    <row r="585" spans="1:13" x14ac:dyDescent="0.3">
      <c r="A585" t="s">
        <v>622</v>
      </c>
      <c r="B585" s="2">
        <v>45725</v>
      </c>
      <c r="C585" t="s">
        <v>19</v>
      </c>
      <c r="D585" t="s">
        <v>37</v>
      </c>
      <c r="E585" t="s">
        <v>16</v>
      </c>
      <c r="F585">
        <v>6</v>
      </c>
      <c r="G585">
        <v>350.83</v>
      </c>
      <c r="H585">
        <v>0</v>
      </c>
      <c r="I585">
        <v>2104.98</v>
      </c>
      <c r="J585">
        <v>1228.67</v>
      </c>
      <c r="K585">
        <v>876.31</v>
      </c>
      <c r="L585" t="s">
        <v>49</v>
      </c>
      <c r="M585">
        <v>0.4163</v>
      </c>
    </row>
    <row r="586" spans="1:13" x14ac:dyDescent="0.3">
      <c r="A586" t="s">
        <v>623</v>
      </c>
      <c r="B586" s="2">
        <v>45894</v>
      </c>
      <c r="C586" t="s">
        <v>14</v>
      </c>
      <c r="D586" t="s">
        <v>48</v>
      </c>
      <c r="E586" t="s">
        <v>16</v>
      </c>
      <c r="F586">
        <v>1</v>
      </c>
      <c r="G586">
        <v>842.67</v>
      </c>
      <c r="H586">
        <v>0.15</v>
      </c>
      <c r="I586">
        <v>716.27</v>
      </c>
      <c r="J586">
        <v>484.03</v>
      </c>
      <c r="K586">
        <v>232.24</v>
      </c>
      <c r="L586" t="s">
        <v>44</v>
      </c>
      <c r="M586">
        <v>0.32419999999999999</v>
      </c>
    </row>
    <row r="587" spans="1:13" x14ac:dyDescent="0.3">
      <c r="A587" t="s">
        <v>624</v>
      </c>
      <c r="B587" s="2">
        <v>45711</v>
      </c>
      <c r="C587" t="s">
        <v>14</v>
      </c>
      <c r="D587" t="s">
        <v>37</v>
      </c>
      <c r="E587" t="s">
        <v>16</v>
      </c>
      <c r="F587">
        <v>6</v>
      </c>
      <c r="G587">
        <v>442.87</v>
      </c>
      <c r="H587">
        <v>0</v>
      </c>
      <c r="I587">
        <v>2657.22</v>
      </c>
      <c r="J587">
        <v>1546.49</v>
      </c>
      <c r="K587">
        <v>1110.73</v>
      </c>
      <c r="L587" t="s">
        <v>29</v>
      </c>
      <c r="M587">
        <v>0.41799999999999998</v>
      </c>
    </row>
    <row r="588" spans="1:13" x14ac:dyDescent="0.3">
      <c r="A588" t="s">
        <v>625</v>
      </c>
      <c r="B588" s="2">
        <v>45928</v>
      </c>
      <c r="C588" t="s">
        <v>24</v>
      </c>
      <c r="D588" t="s">
        <v>20</v>
      </c>
      <c r="E588" t="s">
        <v>21</v>
      </c>
      <c r="F588">
        <v>4</v>
      </c>
      <c r="G588">
        <v>96.1</v>
      </c>
      <c r="H588">
        <v>0.15</v>
      </c>
      <c r="I588">
        <v>326.74</v>
      </c>
      <c r="J588">
        <v>223.54</v>
      </c>
      <c r="K588">
        <v>103.2</v>
      </c>
      <c r="L588" t="s">
        <v>38</v>
      </c>
      <c r="M588">
        <v>0.31580000000000003</v>
      </c>
    </row>
    <row r="589" spans="1:13" x14ac:dyDescent="0.3">
      <c r="A589" t="s">
        <v>626</v>
      </c>
      <c r="B589" s="2">
        <v>45930</v>
      </c>
      <c r="C589" t="s">
        <v>19</v>
      </c>
      <c r="D589" t="s">
        <v>28</v>
      </c>
      <c r="E589" t="s">
        <v>21</v>
      </c>
      <c r="F589">
        <v>3</v>
      </c>
      <c r="G589">
        <v>168.84</v>
      </c>
      <c r="H589">
        <v>0</v>
      </c>
      <c r="I589">
        <v>506.52</v>
      </c>
      <c r="J589">
        <v>365.44</v>
      </c>
      <c r="K589">
        <v>141.08000000000001</v>
      </c>
      <c r="L589" t="s">
        <v>38</v>
      </c>
      <c r="M589">
        <v>0.27850000000000003</v>
      </c>
    </row>
    <row r="590" spans="1:13" x14ac:dyDescent="0.3">
      <c r="A590" t="s">
        <v>627</v>
      </c>
      <c r="B590" s="2">
        <v>45902</v>
      </c>
      <c r="C590" t="s">
        <v>19</v>
      </c>
      <c r="D590" t="s">
        <v>48</v>
      </c>
      <c r="E590" t="s">
        <v>16</v>
      </c>
      <c r="F590">
        <v>1</v>
      </c>
      <c r="G590">
        <v>707.31</v>
      </c>
      <c r="H590">
        <v>0.1</v>
      </c>
      <c r="I590">
        <v>636.58000000000004</v>
      </c>
      <c r="J590">
        <v>383.18</v>
      </c>
      <c r="K590">
        <v>253.4</v>
      </c>
      <c r="L590" t="s">
        <v>38</v>
      </c>
      <c r="M590">
        <v>0.39810000000000001</v>
      </c>
    </row>
    <row r="591" spans="1:13" x14ac:dyDescent="0.3">
      <c r="A591" t="s">
        <v>628</v>
      </c>
      <c r="B591" s="2">
        <v>45726</v>
      </c>
      <c r="C591" t="s">
        <v>19</v>
      </c>
      <c r="D591" t="s">
        <v>15</v>
      </c>
      <c r="E591" t="s">
        <v>16</v>
      </c>
      <c r="F591">
        <v>4</v>
      </c>
      <c r="G591">
        <v>186.46</v>
      </c>
      <c r="H591">
        <v>0</v>
      </c>
      <c r="I591">
        <v>745.84</v>
      </c>
      <c r="J591">
        <v>470.97</v>
      </c>
      <c r="K591">
        <v>274.87</v>
      </c>
      <c r="L591" t="s">
        <v>49</v>
      </c>
      <c r="M591">
        <v>0.36849999999999999</v>
      </c>
    </row>
    <row r="592" spans="1:13" x14ac:dyDescent="0.3">
      <c r="A592" t="s">
        <v>629</v>
      </c>
      <c r="B592" s="2">
        <v>45971</v>
      </c>
      <c r="C592" t="s">
        <v>32</v>
      </c>
      <c r="D592" t="s">
        <v>72</v>
      </c>
      <c r="E592" t="s">
        <v>16</v>
      </c>
      <c r="F592">
        <v>2</v>
      </c>
      <c r="G592">
        <v>106.26</v>
      </c>
      <c r="H592">
        <v>0.05</v>
      </c>
      <c r="I592">
        <v>201.89</v>
      </c>
      <c r="J592">
        <v>152.6</v>
      </c>
      <c r="K592">
        <v>49.29</v>
      </c>
      <c r="L592" t="s">
        <v>35</v>
      </c>
      <c r="M592">
        <v>0.24410000000000001</v>
      </c>
    </row>
    <row r="593" spans="1:13" x14ac:dyDescent="0.3">
      <c r="A593" t="s">
        <v>630</v>
      </c>
      <c r="B593" s="2">
        <v>45784</v>
      </c>
      <c r="C593" t="s">
        <v>19</v>
      </c>
      <c r="D593" t="s">
        <v>20</v>
      </c>
      <c r="E593" t="s">
        <v>21</v>
      </c>
      <c r="F593">
        <v>2</v>
      </c>
      <c r="G593">
        <v>60.36</v>
      </c>
      <c r="H593">
        <v>0</v>
      </c>
      <c r="I593">
        <v>120.72</v>
      </c>
      <c r="J593">
        <v>95.66</v>
      </c>
      <c r="K593">
        <v>25.06</v>
      </c>
      <c r="L593" t="s">
        <v>33</v>
      </c>
      <c r="M593">
        <v>0.20760000000000001</v>
      </c>
    </row>
    <row r="594" spans="1:13" x14ac:dyDescent="0.3">
      <c r="A594" t="s">
        <v>631</v>
      </c>
      <c r="B594" s="2">
        <v>46015</v>
      </c>
      <c r="C594" t="s">
        <v>32</v>
      </c>
      <c r="D594" t="s">
        <v>41</v>
      </c>
      <c r="E594" t="s">
        <v>21</v>
      </c>
      <c r="F594">
        <v>3</v>
      </c>
      <c r="G594">
        <v>29.85</v>
      </c>
      <c r="H594">
        <v>0.1</v>
      </c>
      <c r="I594">
        <v>80.599999999999994</v>
      </c>
      <c r="J594">
        <v>54.44</v>
      </c>
      <c r="K594">
        <v>26.16</v>
      </c>
      <c r="L594" t="s">
        <v>46</v>
      </c>
      <c r="M594">
        <v>0.3246</v>
      </c>
    </row>
    <row r="595" spans="1:13" x14ac:dyDescent="0.3">
      <c r="A595" t="s">
        <v>632</v>
      </c>
      <c r="B595" s="2">
        <v>45730</v>
      </c>
      <c r="C595" t="s">
        <v>32</v>
      </c>
      <c r="D595" t="s">
        <v>15</v>
      </c>
      <c r="E595" t="s">
        <v>16</v>
      </c>
      <c r="F595">
        <v>3</v>
      </c>
      <c r="G595">
        <v>425.08</v>
      </c>
      <c r="H595">
        <v>0</v>
      </c>
      <c r="I595">
        <v>1275.24</v>
      </c>
      <c r="J595">
        <v>853.22</v>
      </c>
      <c r="K595">
        <v>422.02</v>
      </c>
      <c r="L595" t="s">
        <v>49</v>
      </c>
      <c r="M595">
        <v>0.33090000000000003</v>
      </c>
    </row>
    <row r="596" spans="1:13" x14ac:dyDescent="0.3">
      <c r="A596" t="s">
        <v>633</v>
      </c>
      <c r="B596" s="2">
        <v>45839</v>
      </c>
      <c r="C596" t="s">
        <v>32</v>
      </c>
      <c r="D596" t="s">
        <v>25</v>
      </c>
      <c r="E596" t="s">
        <v>21</v>
      </c>
      <c r="F596">
        <v>3</v>
      </c>
      <c r="G596">
        <v>99.98</v>
      </c>
      <c r="H596">
        <v>0</v>
      </c>
      <c r="I596">
        <v>299.94</v>
      </c>
      <c r="J596">
        <v>200.49</v>
      </c>
      <c r="K596">
        <v>99.45</v>
      </c>
      <c r="L596" t="s">
        <v>26</v>
      </c>
      <c r="M596">
        <v>0.33160000000000001</v>
      </c>
    </row>
    <row r="597" spans="1:13" x14ac:dyDescent="0.3">
      <c r="A597" t="s">
        <v>634</v>
      </c>
      <c r="B597" s="2">
        <v>46020</v>
      </c>
      <c r="C597" t="s">
        <v>19</v>
      </c>
      <c r="D597" t="s">
        <v>48</v>
      </c>
      <c r="E597" t="s">
        <v>16</v>
      </c>
      <c r="F597">
        <v>2</v>
      </c>
      <c r="G597">
        <v>1061.8</v>
      </c>
      <c r="H597">
        <v>0.05</v>
      </c>
      <c r="I597">
        <v>2017.42</v>
      </c>
      <c r="J597">
        <v>1475.26</v>
      </c>
      <c r="K597">
        <v>542.16</v>
      </c>
      <c r="L597" t="s">
        <v>46</v>
      </c>
      <c r="M597">
        <v>0.26869999999999999</v>
      </c>
    </row>
    <row r="598" spans="1:13" x14ac:dyDescent="0.3">
      <c r="A598" t="s">
        <v>635</v>
      </c>
      <c r="B598" s="2">
        <v>45694</v>
      </c>
      <c r="C598" t="s">
        <v>19</v>
      </c>
      <c r="D598" t="s">
        <v>41</v>
      </c>
      <c r="E598" t="s">
        <v>21</v>
      </c>
      <c r="F598">
        <v>6</v>
      </c>
      <c r="G598">
        <v>38.94</v>
      </c>
      <c r="H598">
        <v>0</v>
      </c>
      <c r="I598">
        <v>233.64</v>
      </c>
      <c r="J598">
        <v>171.92</v>
      </c>
      <c r="K598">
        <v>61.72</v>
      </c>
      <c r="L598" t="s">
        <v>29</v>
      </c>
      <c r="M598">
        <v>0.26419999999999999</v>
      </c>
    </row>
    <row r="599" spans="1:13" x14ac:dyDescent="0.3">
      <c r="A599" t="s">
        <v>636</v>
      </c>
      <c r="B599" s="2">
        <v>45842</v>
      </c>
      <c r="C599" t="s">
        <v>32</v>
      </c>
      <c r="D599" t="s">
        <v>41</v>
      </c>
      <c r="E599" t="s">
        <v>21</v>
      </c>
      <c r="F599">
        <v>2</v>
      </c>
      <c r="G599">
        <v>63.96</v>
      </c>
      <c r="H599">
        <v>0</v>
      </c>
      <c r="I599">
        <v>127.92</v>
      </c>
      <c r="J599">
        <v>87.82</v>
      </c>
      <c r="K599">
        <v>40.1</v>
      </c>
      <c r="L599" t="s">
        <v>26</v>
      </c>
      <c r="M599">
        <v>0.3135</v>
      </c>
    </row>
    <row r="600" spans="1:13" x14ac:dyDescent="0.3">
      <c r="A600" t="s">
        <v>637</v>
      </c>
      <c r="B600" s="2">
        <v>45981</v>
      </c>
      <c r="C600" t="s">
        <v>24</v>
      </c>
      <c r="D600" t="s">
        <v>41</v>
      </c>
      <c r="E600" t="s">
        <v>21</v>
      </c>
      <c r="F600">
        <v>6</v>
      </c>
      <c r="G600">
        <v>43.67</v>
      </c>
      <c r="H600">
        <v>0</v>
      </c>
      <c r="I600">
        <v>262.02</v>
      </c>
      <c r="J600">
        <v>182.85</v>
      </c>
      <c r="K600">
        <v>79.17</v>
      </c>
      <c r="L600" t="s">
        <v>35</v>
      </c>
      <c r="M600">
        <v>0.30220000000000002</v>
      </c>
    </row>
    <row r="601" spans="1:13" x14ac:dyDescent="0.3">
      <c r="A601" t="s">
        <v>638</v>
      </c>
      <c r="B601" s="2">
        <v>45759</v>
      </c>
      <c r="C601" t="s">
        <v>14</v>
      </c>
      <c r="D601" t="s">
        <v>15</v>
      </c>
      <c r="E601" t="s">
        <v>16</v>
      </c>
      <c r="F601">
        <v>1</v>
      </c>
      <c r="G601">
        <v>539.29</v>
      </c>
      <c r="H601">
        <v>0</v>
      </c>
      <c r="I601">
        <v>539.29</v>
      </c>
      <c r="J601">
        <v>397.59</v>
      </c>
      <c r="K601">
        <v>141.69999999999999</v>
      </c>
      <c r="L601" t="s">
        <v>17</v>
      </c>
      <c r="M601">
        <v>0.26279999999999998</v>
      </c>
    </row>
    <row r="602" spans="1:13" x14ac:dyDescent="0.3">
      <c r="A602" t="s">
        <v>639</v>
      </c>
      <c r="B602" s="2">
        <v>45766</v>
      </c>
      <c r="C602" t="s">
        <v>19</v>
      </c>
      <c r="D602" t="s">
        <v>28</v>
      </c>
      <c r="E602" t="s">
        <v>21</v>
      </c>
      <c r="F602">
        <v>5</v>
      </c>
      <c r="G602">
        <v>48.04</v>
      </c>
      <c r="H602">
        <v>0</v>
      </c>
      <c r="I602">
        <v>240.2</v>
      </c>
      <c r="J602">
        <v>177.61</v>
      </c>
      <c r="K602">
        <v>62.59</v>
      </c>
      <c r="L602" t="s">
        <v>17</v>
      </c>
      <c r="M602">
        <v>0.2606</v>
      </c>
    </row>
    <row r="603" spans="1:13" x14ac:dyDescent="0.3">
      <c r="A603" t="s">
        <v>640</v>
      </c>
      <c r="B603" s="2">
        <v>45940</v>
      </c>
      <c r="C603" t="s">
        <v>24</v>
      </c>
      <c r="D603" t="s">
        <v>41</v>
      </c>
      <c r="E603" t="s">
        <v>21</v>
      </c>
      <c r="F603">
        <v>3</v>
      </c>
      <c r="G603">
        <v>18.96</v>
      </c>
      <c r="H603">
        <v>0</v>
      </c>
      <c r="I603">
        <v>56.88</v>
      </c>
      <c r="J603">
        <v>37.22</v>
      </c>
      <c r="K603">
        <v>19.66</v>
      </c>
      <c r="L603" t="s">
        <v>58</v>
      </c>
      <c r="M603">
        <v>0.34560000000000002</v>
      </c>
    </row>
    <row r="604" spans="1:13" x14ac:dyDescent="0.3">
      <c r="A604" t="s">
        <v>641</v>
      </c>
      <c r="B604" s="2">
        <v>46001</v>
      </c>
      <c r="C604" t="s">
        <v>32</v>
      </c>
      <c r="D604" t="s">
        <v>37</v>
      </c>
      <c r="E604" t="s">
        <v>16</v>
      </c>
      <c r="F604">
        <v>7</v>
      </c>
      <c r="G604">
        <v>219.01</v>
      </c>
      <c r="H604">
        <v>0.1</v>
      </c>
      <c r="I604">
        <v>1379.76</v>
      </c>
      <c r="J604">
        <v>825.64</v>
      </c>
      <c r="K604">
        <v>554.12</v>
      </c>
      <c r="L604" t="s">
        <v>46</v>
      </c>
      <c r="M604">
        <v>0.40160000000000001</v>
      </c>
    </row>
    <row r="605" spans="1:13" x14ac:dyDescent="0.3">
      <c r="A605" t="s">
        <v>642</v>
      </c>
      <c r="B605" s="2">
        <v>45767</v>
      </c>
      <c r="C605" t="s">
        <v>14</v>
      </c>
      <c r="D605" t="s">
        <v>28</v>
      </c>
      <c r="E605" t="s">
        <v>21</v>
      </c>
      <c r="F605">
        <v>7</v>
      </c>
      <c r="G605">
        <v>74.97</v>
      </c>
      <c r="H605">
        <v>0.1</v>
      </c>
      <c r="I605">
        <v>472.31</v>
      </c>
      <c r="J605">
        <v>363.08</v>
      </c>
      <c r="K605">
        <v>109.23</v>
      </c>
      <c r="L605" t="s">
        <v>17</v>
      </c>
      <c r="M605">
        <v>0.23130000000000001</v>
      </c>
    </row>
    <row r="606" spans="1:13" x14ac:dyDescent="0.3">
      <c r="A606" t="s">
        <v>643</v>
      </c>
      <c r="B606" s="2">
        <v>45974</v>
      </c>
      <c r="C606" t="s">
        <v>32</v>
      </c>
      <c r="D606" t="s">
        <v>48</v>
      </c>
      <c r="E606" t="s">
        <v>16</v>
      </c>
      <c r="F606">
        <v>2</v>
      </c>
      <c r="G606">
        <v>726.47</v>
      </c>
      <c r="H606">
        <v>0</v>
      </c>
      <c r="I606">
        <v>1452.94</v>
      </c>
      <c r="J606">
        <v>953.81</v>
      </c>
      <c r="K606">
        <v>499.13</v>
      </c>
      <c r="L606" t="s">
        <v>35</v>
      </c>
      <c r="M606">
        <v>0.34350000000000003</v>
      </c>
    </row>
    <row r="607" spans="1:13" x14ac:dyDescent="0.3">
      <c r="A607" t="s">
        <v>644</v>
      </c>
      <c r="B607" s="2">
        <v>45918</v>
      </c>
      <c r="C607" t="s">
        <v>14</v>
      </c>
      <c r="D607" t="s">
        <v>25</v>
      </c>
      <c r="E607" t="s">
        <v>21</v>
      </c>
      <c r="F607">
        <v>3</v>
      </c>
      <c r="G607">
        <v>137.75</v>
      </c>
      <c r="H607">
        <v>0</v>
      </c>
      <c r="I607">
        <v>413.25</v>
      </c>
      <c r="J607">
        <v>291.42</v>
      </c>
      <c r="K607">
        <v>121.83</v>
      </c>
      <c r="L607" t="s">
        <v>38</v>
      </c>
      <c r="M607">
        <v>0.29480000000000001</v>
      </c>
    </row>
    <row r="608" spans="1:13" x14ac:dyDescent="0.3">
      <c r="A608" t="s">
        <v>645</v>
      </c>
      <c r="B608" s="2">
        <v>45871</v>
      </c>
      <c r="C608" t="s">
        <v>32</v>
      </c>
      <c r="D608" t="s">
        <v>15</v>
      </c>
      <c r="E608" t="s">
        <v>16</v>
      </c>
      <c r="F608">
        <v>1</v>
      </c>
      <c r="G608">
        <v>342.05</v>
      </c>
      <c r="H608">
        <v>0.05</v>
      </c>
      <c r="I608">
        <v>324.95</v>
      </c>
      <c r="J608">
        <v>220.8</v>
      </c>
      <c r="K608">
        <v>104.15</v>
      </c>
      <c r="L608" t="s">
        <v>44</v>
      </c>
      <c r="M608">
        <v>0.32050000000000001</v>
      </c>
    </row>
    <row r="609" spans="1:13" x14ac:dyDescent="0.3">
      <c r="A609" t="s">
        <v>646</v>
      </c>
      <c r="B609" s="2">
        <v>45769</v>
      </c>
      <c r="C609" t="s">
        <v>19</v>
      </c>
      <c r="D609" t="s">
        <v>28</v>
      </c>
      <c r="E609" t="s">
        <v>21</v>
      </c>
      <c r="F609">
        <v>7</v>
      </c>
      <c r="G609">
        <v>159.62</v>
      </c>
      <c r="H609">
        <v>0</v>
      </c>
      <c r="I609">
        <v>1117.3399999999999</v>
      </c>
      <c r="J609">
        <v>834.15</v>
      </c>
      <c r="K609">
        <v>283.19</v>
      </c>
      <c r="L609" t="s">
        <v>17</v>
      </c>
      <c r="M609">
        <v>0.2535</v>
      </c>
    </row>
    <row r="610" spans="1:13" x14ac:dyDescent="0.3">
      <c r="A610" t="s">
        <v>647</v>
      </c>
      <c r="B610" s="2">
        <v>45765</v>
      </c>
      <c r="C610" t="s">
        <v>14</v>
      </c>
      <c r="D610" t="s">
        <v>28</v>
      </c>
      <c r="E610" t="s">
        <v>21</v>
      </c>
      <c r="F610">
        <v>1</v>
      </c>
      <c r="G610">
        <v>172.02</v>
      </c>
      <c r="H610">
        <v>0.1</v>
      </c>
      <c r="I610">
        <v>154.82</v>
      </c>
      <c r="J610">
        <v>109.56</v>
      </c>
      <c r="K610">
        <v>45.26</v>
      </c>
      <c r="L610" t="s">
        <v>17</v>
      </c>
      <c r="M610">
        <v>0.2923</v>
      </c>
    </row>
    <row r="611" spans="1:13" x14ac:dyDescent="0.3">
      <c r="A611" t="s">
        <v>648</v>
      </c>
      <c r="B611" s="2">
        <v>45779</v>
      </c>
      <c r="C611" t="s">
        <v>14</v>
      </c>
      <c r="D611" t="s">
        <v>25</v>
      </c>
      <c r="E611" t="s">
        <v>21</v>
      </c>
      <c r="F611">
        <v>6</v>
      </c>
      <c r="G611">
        <v>100.38</v>
      </c>
      <c r="H611">
        <v>0</v>
      </c>
      <c r="I611">
        <v>602.28</v>
      </c>
      <c r="J611">
        <v>409.19</v>
      </c>
      <c r="K611">
        <v>193.09</v>
      </c>
      <c r="L611" t="s">
        <v>33</v>
      </c>
      <c r="M611">
        <v>0.3206</v>
      </c>
    </row>
    <row r="612" spans="1:13" x14ac:dyDescent="0.3">
      <c r="A612" t="s">
        <v>649</v>
      </c>
      <c r="B612" s="2">
        <v>45668</v>
      </c>
      <c r="C612" t="s">
        <v>14</v>
      </c>
      <c r="D612" t="s">
        <v>15</v>
      </c>
      <c r="E612" t="s">
        <v>16</v>
      </c>
      <c r="F612">
        <v>4</v>
      </c>
      <c r="G612">
        <v>453.61</v>
      </c>
      <c r="H612">
        <v>0</v>
      </c>
      <c r="I612">
        <v>1814.44</v>
      </c>
      <c r="J612">
        <v>1144.6500000000001</v>
      </c>
      <c r="K612">
        <v>669.79</v>
      </c>
      <c r="L612" t="s">
        <v>65</v>
      </c>
      <c r="M612">
        <v>0.36909999999999998</v>
      </c>
    </row>
    <row r="613" spans="1:13" x14ac:dyDescent="0.3">
      <c r="A613" t="s">
        <v>650</v>
      </c>
      <c r="B613" s="2">
        <v>45809</v>
      </c>
      <c r="C613" t="s">
        <v>24</v>
      </c>
      <c r="D613" t="s">
        <v>15</v>
      </c>
      <c r="E613" t="s">
        <v>16</v>
      </c>
      <c r="F613">
        <v>7</v>
      </c>
      <c r="G613">
        <v>294.55</v>
      </c>
      <c r="H613">
        <v>0</v>
      </c>
      <c r="I613">
        <v>2061.85</v>
      </c>
      <c r="J613">
        <v>1361.98</v>
      </c>
      <c r="K613">
        <v>699.87</v>
      </c>
      <c r="L613" t="s">
        <v>22</v>
      </c>
      <c r="M613">
        <v>0.33939999999999998</v>
      </c>
    </row>
    <row r="614" spans="1:13" x14ac:dyDescent="0.3">
      <c r="A614" t="s">
        <v>651</v>
      </c>
      <c r="B614" s="2">
        <v>45852</v>
      </c>
      <c r="C614" t="s">
        <v>14</v>
      </c>
      <c r="D614" t="s">
        <v>20</v>
      </c>
      <c r="E614" t="s">
        <v>21</v>
      </c>
      <c r="F614">
        <v>5</v>
      </c>
      <c r="G614">
        <v>64.400000000000006</v>
      </c>
      <c r="H614">
        <v>0.1</v>
      </c>
      <c r="I614">
        <v>289.8</v>
      </c>
      <c r="J614">
        <v>228.7</v>
      </c>
      <c r="K614">
        <v>61.1</v>
      </c>
      <c r="L614" t="s">
        <v>26</v>
      </c>
      <c r="M614">
        <v>0.21079999999999999</v>
      </c>
    </row>
    <row r="615" spans="1:13" x14ac:dyDescent="0.3">
      <c r="A615" t="s">
        <v>652</v>
      </c>
      <c r="B615" s="2">
        <v>45798</v>
      </c>
      <c r="C615" t="s">
        <v>14</v>
      </c>
      <c r="D615" t="s">
        <v>72</v>
      </c>
      <c r="E615" t="s">
        <v>16</v>
      </c>
      <c r="F615">
        <v>7</v>
      </c>
      <c r="G615">
        <v>285.93</v>
      </c>
      <c r="H615">
        <v>0</v>
      </c>
      <c r="I615">
        <v>2001.51</v>
      </c>
      <c r="J615">
        <v>1318.22</v>
      </c>
      <c r="K615">
        <v>683.29</v>
      </c>
      <c r="L615" t="s">
        <v>33</v>
      </c>
      <c r="M615">
        <v>0.34139999999999998</v>
      </c>
    </row>
    <row r="616" spans="1:13" x14ac:dyDescent="0.3">
      <c r="A616" t="s">
        <v>653</v>
      </c>
      <c r="B616" s="2">
        <v>45902</v>
      </c>
      <c r="C616" t="s">
        <v>24</v>
      </c>
      <c r="D616" t="s">
        <v>48</v>
      </c>
      <c r="E616" t="s">
        <v>16</v>
      </c>
      <c r="F616">
        <v>2</v>
      </c>
      <c r="G616">
        <v>564.39</v>
      </c>
      <c r="H616">
        <v>0.15</v>
      </c>
      <c r="I616">
        <v>959.46</v>
      </c>
      <c r="J616">
        <v>716.9</v>
      </c>
      <c r="K616">
        <v>242.56</v>
      </c>
      <c r="L616" t="s">
        <v>38</v>
      </c>
      <c r="M616">
        <v>0.25280000000000002</v>
      </c>
    </row>
    <row r="617" spans="1:13" x14ac:dyDescent="0.3">
      <c r="A617" t="s">
        <v>654</v>
      </c>
      <c r="B617" s="2">
        <v>45926</v>
      </c>
      <c r="C617" t="s">
        <v>32</v>
      </c>
      <c r="D617" t="s">
        <v>28</v>
      </c>
      <c r="E617" t="s">
        <v>21</v>
      </c>
      <c r="F617">
        <v>5</v>
      </c>
      <c r="G617">
        <v>116.23</v>
      </c>
      <c r="H617">
        <v>0.15</v>
      </c>
      <c r="I617">
        <v>493.98</v>
      </c>
      <c r="J617">
        <v>347.24</v>
      </c>
      <c r="K617">
        <v>146.74</v>
      </c>
      <c r="L617" t="s">
        <v>38</v>
      </c>
      <c r="M617">
        <v>0.29709999999999998</v>
      </c>
    </row>
    <row r="618" spans="1:13" x14ac:dyDescent="0.3">
      <c r="A618" t="s">
        <v>655</v>
      </c>
      <c r="B618" s="2">
        <v>45850</v>
      </c>
      <c r="C618" t="s">
        <v>32</v>
      </c>
      <c r="D618" t="s">
        <v>37</v>
      </c>
      <c r="E618" t="s">
        <v>16</v>
      </c>
      <c r="F618">
        <v>1</v>
      </c>
      <c r="G618">
        <v>350.46</v>
      </c>
      <c r="H618">
        <v>0.1</v>
      </c>
      <c r="I618">
        <v>315.41000000000003</v>
      </c>
      <c r="J618">
        <v>254.96</v>
      </c>
      <c r="K618">
        <v>60.45</v>
      </c>
      <c r="L618" t="s">
        <v>26</v>
      </c>
      <c r="M618">
        <v>0.19170000000000001</v>
      </c>
    </row>
    <row r="619" spans="1:13" x14ac:dyDescent="0.3">
      <c r="A619" t="s">
        <v>656</v>
      </c>
      <c r="B619" s="2">
        <v>45686</v>
      </c>
      <c r="C619" t="s">
        <v>32</v>
      </c>
      <c r="D619" t="s">
        <v>25</v>
      </c>
      <c r="E619" t="s">
        <v>21</v>
      </c>
      <c r="F619">
        <v>1</v>
      </c>
      <c r="G619">
        <v>141.44999999999999</v>
      </c>
      <c r="H619">
        <v>0.05</v>
      </c>
      <c r="I619">
        <v>134.38</v>
      </c>
      <c r="J619">
        <v>91.1</v>
      </c>
      <c r="K619">
        <v>43.28</v>
      </c>
      <c r="L619" t="s">
        <v>65</v>
      </c>
      <c r="M619">
        <v>0.3221</v>
      </c>
    </row>
    <row r="620" spans="1:13" x14ac:dyDescent="0.3">
      <c r="A620" t="s">
        <v>657</v>
      </c>
      <c r="B620" s="2">
        <v>45777</v>
      </c>
      <c r="C620" t="s">
        <v>24</v>
      </c>
      <c r="D620" t="s">
        <v>20</v>
      </c>
      <c r="E620" t="s">
        <v>21</v>
      </c>
      <c r="F620">
        <v>2</v>
      </c>
      <c r="G620">
        <v>49.06</v>
      </c>
      <c r="H620">
        <v>0</v>
      </c>
      <c r="I620">
        <v>98.12</v>
      </c>
      <c r="J620">
        <v>73.95</v>
      </c>
      <c r="K620">
        <v>24.17</v>
      </c>
      <c r="L620" t="s">
        <v>17</v>
      </c>
      <c r="M620">
        <v>0.24629999999999999</v>
      </c>
    </row>
    <row r="621" spans="1:13" x14ac:dyDescent="0.3">
      <c r="A621" t="s">
        <v>658</v>
      </c>
      <c r="B621" s="2">
        <v>45775</v>
      </c>
      <c r="C621" t="s">
        <v>32</v>
      </c>
      <c r="D621" t="s">
        <v>48</v>
      </c>
      <c r="E621" t="s">
        <v>16</v>
      </c>
      <c r="F621">
        <v>5</v>
      </c>
      <c r="G621">
        <v>1083.9000000000001</v>
      </c>
      <c r="H621">
        <v>0.1</v>
      </c>
      <c r="I621">
        <v>4877.55</v>
      </c>
      <c r="J621">
        <v>3396.84</v>
      </c>
      <c r="K621">
        <v>1480.71</v>
      </c>
      <c r="L621" t="s">
        <v>17</v>
      </c>
      <c r="M621">
        <v>0.30359999999999998</v>
      </c>
    </row>
    <row r="622" spans="1:13" x14ac:dyDescent="0.3">
      <c r="A622" t="s">
        <v>659</v>
      </c>
      <c r="B622" s="2">
        <v>45928</v>
      </c>
      <c r="C622" t="s">
        <v>19</v>
      </c>
      <c r="D622" t="s">
        <v>15</v>
      </c>
      <c r="E622" t="s">
        <v>16</v>
      </c>
      <c r="F622">
        <v>6</v>
      </c>
      <c r="G622">
        <v>419.96</v>
      </c>
      <c r="H622">
        <v>0.1</v>
      </c>
      <c r="I622">
        <v>2267.7800000000002</v>
      </c>
      <c r="J622">
        <v>1535.51</v>
      </c>
      <c r="K622">
        <v>732.27</v>
      </c>
      <c r="L622" t="s">
        <v>38</v>
      </c>
      <c r="M622">
        <v>0.32290000000000002</v>
      </c>
    </row>
    <row r="623" spans="1:13" x14ac:dyDescent="0.3">
      <c r="A623" t="s">
        <v>660</v>
      </c>
      <c r="B623" s="2">
        <v>45705</v>
      </c>
      <c r="C623" t="s">
        <v>14</v>
      </c>
      <c r="D623" t="s">
        <v>20</v>
      </c>
      <c r="E623" t="s">
        <v>21</v>
      </c>
      <c r="F623">
        <v>5</v>
      </c>
      <c r="G623">
        <v>63.93</v>
      </c>
      <c r="H623">
        <v>0.05</v>
      </c>
      <c r="I623">
        <v>303.67</v>
      </c>
      <c r="J623">
        <v>177.26</v>
      </c>
      <c r="K623">
        <v>126.41</v>
      </c>
      <c r="L623" t="s">
        <v>29</v>
      </c>
      <c r="M623">
        <v>0.4163</v>
      </c>
    </row>
    <row r="624" spans="1:13" x14ac:dyDescent="0.3">
      <c r="A624" t="s">
        <v>661</v>
      </c>
      <c r="B624" s="2">
        <v>45992</v>
      </c>
      <c r="C624" t="s">
        <v>24</v>
      </c>
      <c r="D624" t="s">
        <v>72</v>
      </c>
      <c r="E624" t="s">
        <v>16</v>
      </c>
      <c r="F624">
        <v>6</v>
      </c>
      <c r="G624">
        <v>214.61</v>
      </c>
      <c r="H624">
        <v>0</v>
      </c>
      <c r="I624">
        <v>1287.6600000000001</v>
      </c>
      <c r="J624">
        <v>976.48</v>
      </c>
      <c r="K624">
        <v>311.18</v>
      </c>
      <c r="L624" t="s">
        <v>46</v>
      </c>
      <c r="M624">
        <v>0.2417</v>
      </c>
    </row>
    <row r="625" spans="1:13" x14ac:dyDescent="0.3">
      <c r="A625" t="s">
        <v>662</v>
      </c>
      <c r="B625" s="2">
        <v>45992</v>
      </c>
      <c r="C625" t="s">
        <v>24</v>
      </c>
      <c r="D625" t="s">
        <v>41</v>
      </c>
      <c r="E625" t="s">
        <v>21</v>
      </c>
      <c r="F625">
        <v>1</v>
      </c>
      <c r="G625">
        <v>73.849999999999994</v>
      </c>
      <c r="H625">
        <v>0.05</v>
      </c>
      <c r="I625">
        <v>70.16</v>
      </c>
      <c r="J625">
        <v>49.34</v>
      </c>
      <c r="K625">
        <v>20.82</v>
      </c>
      <c r="L625" t="s">
        <v>46</v>
      </c>
      <c r="M625">
        <v>0.29680000000000001</v>
      </c>
    </row>
    <row r="626" spans="1:13" x14ac:dyDescent="0.3">
      <c r="A626" t="s">
        <v>663</v>
      </c>
      <c r="B626" s="2">
        <v>45839</v>
      </c>
      <c r="C626" t="s">
        <v>14</v>
      </c>
      <c r="D626" t="s">
        <v>72</v>
      </c>
      <c r="E626" t="s">
        <v>16</v>
      </c>
      <c r="F626">
        <v>5</v>
      </c>
      <c r="G626">
        <v>235.36</v>
      </c>
      <c r="H626">
        <v>0</v>
      </c>
      <c r="I626">
        <v>1176.8</v>
      </c>
      <c r="J626">
        <v>744.71</v>
      </c>
      <c r="K626">
        <v>432.09</v>
      </c>
      <c r="L626" t="s">
        <v>26</v>
      </c>
      <c r="M626">
        <v>0.36720000000000003</v>
      </c>
    </row>
    <row r="627" spans="1:13" x14ac:dyDescent="0.3">
      <c r="A627" t="s">
        <v>664</v>
      </c>
      <c r="B627" s="2">
        <v>45988</v>
      </c>
      <c r="C627" t="s">
        <v>14</v>
      </c>
      <c r="D627" t="s">
        <v>72</v>
      </c>
      <c r="E627" t="s">
        <v>16</v>
      </c>
      <c r="F627">
        <v>3</v>
      </c>
      <c r="G627">
        <v>273.72000000000003</v>
      </c>
      <c r="H627">
        <v>0</v>
      </c>
      <c r="I627">
        <v>821.16</v>
      </c>
      <c r="J627">
        <v>549.09</v>
      </c>
      <c r="K627">
        <v>272.07</v>
      </c>
      <c r="L627" t="s">
        <v>35</v>
      </c>
      <c r="M627">
        <v>0.33129999999999998</v>
      </c>
    </row>
    <row r="628" spans="1:13" x14ac:dyDescent="0.3">
      <c r="A628" t="s">
        <v>665</v>
      </c>
      <c r="B628" s="2">
        <v>45913</v>
      </c>
      <c r="C628" t="s">
        <v>32</v>
      </c>
      <c r="D628" t="s">
        <v>15</v>
      </c>
      <c r="E628" t="s">
        <v>16</v>
      </c>
      <c r="F628">
        <v>3</v>
      </c>
      <c r="G628">
        <v>616.77</v>
      </c>
      <c r="H628">
        <v>0</v>
      </c>
      <c r="I628">
        <v>1850.31</v>
      </c>
      <c r="J628">
        <v>1442.37</v>
      </c>
      <c r="K628">
        <v>407.94</v>
      </c>
      <c r="L628" t="s">
        <v>38</v>
      </c>
      <c r="M628">
        <v>0.2205</v>
      </c>
    </row>
    <row r="629" spans="1:13" x14ac:dyDescent="0.3">
      <c r="A629" t="s">
        <v>666</v>
      </c>
      <c r="B629" s="2">
        <v>45705</v>
      </c>
      <c r="C629" t="s">
        <v>32</v>
      </c>
      <c r="D629" t="s">
        <v>48</v>
      </c>
      <c r="E629" t="s">
        <v>16</v>
      </c>
      <c r="F629">
        <v>4</v>
      </c>
      <c r="G629">
        <v>960.79</v>
      </c>
      <c r="H629">
        <v>0</v>
      </c>
      <c r="I629">
        <v>3843.16</v>
      </c>
      <c r="J629">
        <v>2324.66</v>
      </c>
      <c r="K629">
        <v>1518.5</v>
      </c>
      <c r="L629" t="s">
        <v>29</v>
      </c>
      <c r="M629">
        <v>0.39510000000000001</v>
      </c>
    </row>
    <row r="630" spans="1:13" x14ac:dyDescent="0.3">
      <c r="A630" t="s">
        <v>667</v>
      </c>
      <c r="B630" s="2">
        <v>45952</v>
      </c>
      <c r="C630" t="s">
        <v>24</v>
      </c>
      <c r="D630" t="s">
        <v>41</v>
      </c>
      <c r="E630" t="s">
        <v>21</v>
      </c>
      <c r="F630">
        <v>1</v>
      </c>
      <c r="G630">
        <v>48.77</v>
      </c>
      <c r="H630">
        <v>0.1</v>
      </c>
      <c r="I630">
        <v>43.89</v>
      </c>
      <c r="J630">
        <v>33.369999999999997</v>
      </c>
      <c r="K630">
        <v>10.52</v>
      </c>
      <c r="L630" t="s">
        <v>58</v>
      </c>
      <c r="M630">
        <v>0.2397</v>
      </c>
    </row>
    <row r="631" spans="1:13" x14ac:dyDescent="0.3">
      <c r="A631" t="s">
        <v>668</v>
      </c>
      <c r="B631" s="2">
        <v>45686</v>
      </c>
      <c r="C631" t="s">
        <v>19</v>
      </c>
      <c r="D631" t="s">
        <v>37</v>
      </c>
      <c r="E631" t="s">
        <v>16</v>
      </c>
      <c r="F631">
        <v>4</v>
      </c>
      <c r="G631">
        <v>183.5</v>
      </c>
      <c r="H631">
        <v>0.05</v>
      </c>
      <c r="I631">
        <v>697.3</v>
      </c>
      <c r="J631">
        <v>508.27</v>
      </c>
      <c r="K631">
        <v>189.03</v>
      </c>
      <c r="L631" t="s">
        <v>65</v>
      </c>
      <c r="M631">
        <v>0.27110000000000001</v>
      </c>
    </row>
    <row r="632" spans="1:13" x14ac:dyDescent="0.3">
      <c r="A632" t="s">
        <v>669</v>
      </c>
      <c r="B632" s="2">
        <v>45872</v>
      </c>
      <c r="C632" t="s">
        <v>19</v>
      </c>
      <c r="D632" t="s">
        <v>15</v>
      </c>
      <c r="E632" t="s">
        <v>16</v>
      </c>
      <c r="F632">
        <v>4</v>
      </c>
      <c r="G632">
        <v>271.64</v>
      </c>
      <c r="H632">
        <v>0.1</v>
      </c>
      <c r="I632">
        <v>977.9</v>
      </c>
      <c r="J632">
        <v>743.2</v>
      </c>
      <c r="K632">
        <v>234.7</v>
      </c>
      <c r="L632" t="s">
        <v>44</v>
      </c>
      <c r="M632">
        <v>0.24</v>
      </c>
    </row>
    <row r="633" spans="1:13" x14ac:dyDescent="0.3">
      <c r="A633" t="s">
        <v>670</v>
      </c>
      <c r="B633" s="2">
        <v>45719</v>
      </c>
      <c r="C633" t="s">
        <v>14</v>
      </c>
      <c r="D633" t="s">
        <v>20</v>
      </c>
      <c r="E633" t="s">
        <v>21</v>
      </c>
      <c r="F633">
        <v>5</v>
      </c>
      <c r="G633">
        <v>87.14</v>
      </c>
      <c r="H633">
        <v>0.1</v>
      </c>
      <c r="I633">
        <v>392.13</v>
      </c>
      <c r="J633">
        <v>281.91000000000003</v>
      </c>
      <c r="K633">
        <v>110.22</v>
      </c>
      <c r="L633" t="s">
        <v>49</v>
      </c>
      <c r="M633">
        <v>0.28110000000000002</v>
      </c>
    </row>
    <row r="634" spans="1:13" x14ac:dyDescent="0.3">
      <c r="A634" t="s">
        <v>671</v>
      </c>
      <c r="B634" s="2">
        <v>45761</v>
      </c>
      <c r="C634" t="s">
        <v>19</v>
      </c>
      <c r="D634" t="s">
        <v>41</v>
      </c>
      <c r="E634" t="s">
        <v>21</v>
      </c>
      <c r="F634">
        <v>2</v>
      </c>
      <c r="G634">
        <v>38.14</v>
      </c>
      <c r="H634">
        <v>0.1</v>
      </c>
      <c r="I634">
        <v>68.650000000000006</v>
      </c>
      <c r="J634">
        <v>46.18</v>
      </c>
      <c r="K634">
        <v>22.47</v>
      </c>
      <c r="L634" t="s">
        <v>17</v>
      </c>
      <c r="M634">
        <v>0.32729999999999998</v>
      </c>
    </row>
    <row r="635" spans="1:13" x14ac:dyDescent="0.3">
      <c r="A635" t="s">
        <v>672</v>
      </c>
      <c r="B635" s="2">
        <v>45957</v>
      </c>
      <c r="C635" t="s">
        <v>19</v>
      </c>
      <c r="D635" t="s">
        <v>48</v>
      </c>
      <c r="E635" t="s">
        <v>16</v>
      </c>
      <c r="F635">
        <v>5</v>
      </c>
      <c r="G635">
        <v>689.69</v>
      </c>
      <c r="H635">
        <v>0</v>
      </c>
      <c r="I635">
        <v>3448.45</v>
      </c>
      <c r="J635">
        <v>2751.45</v>
      </c>
      <c r="K635">
        <v>697</v>
      </c>
      <c r="L635" t="s">
        <v>58</v>
      </c>
      <c r="M635">
        <v>0.2021</v>
      </c>
    </row>
    <row r="636" spans="1:13" x14ac:dyDescent="0.3">
      <c r="A636" t="s">
        <v>673</v>
      </c>
      <c r="B636" s="2">
        <v>45936</v>
      </c>
      <c r="C636" t="s">
        <v>14</v>
      </c>
      <c r="D636" t="s">
        <v>15</v>
      </c>
      <c r="E636" t="s">
        <v>16</v>
      </c>
      <c r="F636">
        <v>1</v>
      </c>
      <c r="G636">
        <v>454.79</v>
      </c>
      <c r="H636">
        <v>0</v>
      </c>
      <c r="I636">
        <v>454.79</v>
      </c>
      <c r="J636">
        <v>312.23</v>
      </c>
      <c r="K636">
        <v>142.56</v>
      </c>
      <c r="L636" t="s">
        <v>58</v>
      </c>
      <c r="M636">
        <v>0.3135</v>
      </c>
    </row>
    <row r="637" spans="1:13" x14ac:dyDescent="0.3">
      <c r="A637" t="s">
        <v>674</v>
      </c>
      <c r="B637" s="2">
        <v>45823</v>
      </c>
      <c r="C637" t="s">
        <v>19</v>
      </c>
      <c r="D637" t="s">
        <v>25</v>
      </c>
      <c r="E637" t="s">
        <v>21</v>
      </c>
      <c r="F637">
        <v>1</v>
      </c>
      <c r="G637">
        <v>65.349999999999994</v>
      </c>
      <c r="H637">
        <v>0.05</v>
      </c>
      <c r="I637">
        <v>62.08</v>
      </c>
      <c r="J637">
        <v>39.94</v>
      </c>
      <c r="K637">
        <v>22.14</v>
      </c>
      <c r="L637" t="s">
        <v>22</v>
      </c>
      <c r="M637">
        <v>0.35659999999999997</v>
      </c>
    </row>
    <row r="638" spans="1:13" x14ac:dyDescent="0.3">
      <c r="A638" t="s">
        <v>675</v>
      </c>
      <c r="B638" s="2">
        <v>45767</v>
      </c>
      <c r="C638" t="s">
        <v>32</v>
      </c>
      <c r="D638" t="s">
        <v>25</v>
      </c>
      <c r="E638" t="s">
        <v>21</v>
      </c>
      <c r="F638">
        <v>5</v>
      </c>
      <c r="G638">
        <v>72.19</v>
      </c>
      <c r="H638">
        <v>0</v>
      </c>
      <c r="I638">
        <v>360.95</v>
      </c>
      <c r="J638">
        <v>225.89</v>
      </c>
      <c r="K638">
        <v>135.06</v>
      </c>
      <c r="L638" t="s">
        <v>17</v>
      </c>
      <c r="M638">
        <v>0.37419999999999998</v>
      </c>
    </row>
    <row r="639" spans="1:13" x14ac:dyDescent="0.3">
      <c r="A639" t="s">
        <v>676</v>
      </c>
      <c r="B639" s="2">
        <v>45864</v>
      </c>
      <c r="C639" t="s">
        <v>24</v>
      </c>
      <c r="D639" t="s">
        <v>20</v>
      </c>
      <c r="E639" t="s">
        <v>21</v>
      </c>
      <c r="F639">
        <v>4</v>
      </c>
      <c r="G639">
        <v>103.26</v>
      </c>
      <c r="H639">
        <v>0</v>
      </c>
      <c r="I639">
        <v>413.04</v>
      </c>
      <c r="J639">
        <v>316.57</v>
      </c>
      <c r="K639">
        <v>96.47</v>
      </c>
      <c r="L639" t="s">
        <v>26</v>
      </c>
      <c r="M639">
        <v>0.2336</v>
      </c>
    </row>
    <row r="640" spans="1:13" x14ac:dyDescent="0.3">
      <c r="A640" t="s">
        <v>677</v>
      </c>
      <c r="B640" s="2">
        <v>45997</v>
      </c>
      <c r="C640" t="s">
        <v>24</v>
      </c>
      <c r="D640" t="s">
        <v>72</v>
      </c>
      <c r="E640" t="s">
        <v>16</v>
      </c>
      <c r="F640">
        <v>7</v>
      </c>
      <c r="G640">
        <v>345.66</v>
      </c>
      <c r="H640">
        <v>0.1</v>
      </c>
      <c r="I640">
        <v>2177.66</v>
      </c>
      <c r="J640">
        <v>1667.39</v>
      </c>
      <c r="K640">
        <v>510.27</v>
      </c>
      <c r="L640" t="s">
        <v>46</v>
      </c>
      <c r="M640">
        <v>0.23430000000000001</v>
      </c>
    </row>
    <row r="641" spans="1:13" x14ac:dyDescent="0.3">
      <c r="A641" t="s">
        <v>678</v>
      </c>
      <c r="B641" s="2">
        <v>45753</v>
      </c>
      <c r="C641" t="s">
        <v>19</v>
      </c>
      <c r="D641" t="s">
        <v>48</v>
      </c>
      <c r="E641" t="s">
        <v>16</v>
      </c>
      <c r="F641">
        <v>4</v>
      </c>
      <c r="G641">
        <v>691.2</v>
      </c>
      <c r="H641">
        <v>0.05</v>
      </c>
      <c r="I641">
        <v>2626.56</v>
      </c>
      <c r="J641">
        <v>1689.83</v>
      </c>
      <c r="K641">
        <v>936.73</v>
      </c>
      <c r="L641" t="s">
        <v>17</v>
      </c>
      <c r="M641">
        <v>0.35659999999999997</v>
      </c>
    </row>
    <row r="642" spans="1:13" x14ac:dyDescent="0.3">
      <c r="A642" t="s">
        <v>679</v>
      </c>
      <c r="B642" s="2">
        <v>45874</v>
      </c>
      <c r="C642" t="s">
        <v>24</v>
      </c>
      <c r="D642" t="s">
        <v>15</v>
      </c>
      <c r="E642" t="s">
        <v>16</v>
      </c>
      <c r="F642">
        <v>5</v>
      </c>
      <c r="G642">
        <v>476.12</v>
      </c>
      <c r="H642">
        <v>0.1</v>
      </c>
      <c r="I642">
        <v>2142.54</v>
      </c>
      <c r="J642">
        <v>1645.7</v>
      </c>
      <c r="K642">
        <v>496.84</v>
      </c>
      <c r="L642" t="s">
        <v>44</v>
      </c>
      <c r="M642">
        <v>0.2319</v>
      </c>
    </row>
    <row r="643" spans="1:13" x14ac:dyDescent="0.3">
      <c r="A643" t="s">
        <v>680</v>
      </c>
      <c r="B643" s="2">
        <v>45734</v>
      </c>
      <c r="C643" t="s">
        <v>14</v>
      </c>
      <c r="D643" t="s">
        <v>25</v>
      </c>
      <c r="E643" t="s">
        <v>21</v>
      </c>
      <c r="F643">
        <v>3</v>
      </c>
      <c r="G643">
        <v>96.85</v>
      </c>
      <c r="H643">
        <v>0.1</v>
      </c>
      <c r="I643">
        <v>261.49</v>
      </c>
      <c r="J643">
        <v>179.05</v>
      </c>
      <c r="K643">
        <v>82.44</v>
      </c>
      <c r="L643" t="s">
        <v>49</v>
      </c>
      <c r="M643">
        <v>0.31530000000000002</v>
      </c>
    </row>
    <row r="644" spans="1:13" x14ac:dyDescent="0.3">
      <c r="A644" t="s">
        <v>681</v>
      </c>
      <c r="B644" s="2">
        <v>45695</v>
      </c>
      <c r="C644" t="s">
        <v>24</v>
      </c>
      <c r="D644" t="s">
        <v>37</v>
      </c>
      <c r="E644" t="s">
        <v>16</v>
      </c>
      <c r="F644">
        <v>2</v>
      </c>
      <c r="G644">
        <v>371.88</v>
      </c>
      <c r="H644">
        <v>0.1</v>
      </c>
      <c r="I644">
        <v>669.38</v>
      </c>
      <c r="J644">
        <v>501.79</v>
      </c>
      <c r="K644">
        <v>167.59</v>
      </c>
      <c r="L644" t="s">
        <v>29</v>
      </c>
      <c r="M644">
        <v>0.25040000000000001</v>
      </c>
    </row>
    <row r="645" spans="1:13" x14ac:dyDescent="0.3">
      <c r="A645" t="s">
        <v>682</v>
      </c>
      <c r="B645" s="2">
        <v>45718</v>
      </c>
      <c r="C645" t="s">
        <v>14</v>
      </c>
      <c r="D645" t="s">
        <v>20</v>
      </c>
      <c r="E645" t="s">
        <v>21</v>
      </c>
      <c r="F645">
        <v>4</v>
      </c>
      <c r="G645">
        <v>110.79</v>
      </c>
      <c r="H645">
        <v>0.15</v>
      </c>
      <c r="I645">
        <v>376.69</v>
      </c>
      <c r="J645">
        <v>290.93</v>
      </c>
      <c r="K645">
        <v>85.76</v>
      </c>
      <c r="L645" t="s">
        <v>49</v>
      </c>
      <c r="M645">
        <v>0.22770000000000001</v>
      </c>
    </row>
    <row r="646" spans="1:13" x14ac:dyDescent="0.3">
      <c r="A646" t="s">
        <v>683</v>
      </c>
      <c r="B646" s="2">
        <v>45926</v>
      </c>
      <c r="C646" t="s">
        <v>32</v>
      </c>
      <c r="D646" t="s">
        <v>20</v>
      </c>
      <c r="E646" t="s">
        <v>21</v>
      </c>
      <c r="F646">
        <v>5</v>
      </c>
      <c r="G646">
        <v>69.25</v>
      </c>
      <c r="H646">
        <v>0.05</v>
      </c>
      <c r="I646">
        <v>328.94</v>
      </c>
      <c r="J646">
        <v>214.79</v>
      </c>
      <c r="K646">
        <v>114.15</v>
      </c>
      <c r="L646" t="s">
        <v>38</v>
      </c>
      <c r="M646">
        <v>0.34699999999999998</v>
      </c>
    </row>
    <row r="647" spans="1:13" x14ac:dyDescent="0.3">
      <c r="A647" t="s">
        <v>684</v>
      </c>
      <c r="B647" s="2">
        <v>45961</v>
      </c>
      <c r="C647" t="s">
        <v>32</v>
      </c>
      <c r="D647" t="s">
        <v>20</v>
      </c>
      <c r="E647" t="s">
        <v>21</v>
      </c>
      <c r="F647">
        <v>4</v>
      </c>
      <c r="G647">
        <v>109.71</v>
      </c>
      <c r="H647">
        <v>0.1</v>
      </c>
      <c r="I647">
        <v>394.96</v>
      </c>
      <c r="J647">
        <v>267.56</v>
      </c>
      <c r="K647">
        <v>127.4</v>
      </c>
      <c r="L647" t="s">
        <v>58</v>
      </c>
      <c r="M647">
        <v>0.3226</v>
      </c>
    </row>
    <row r="648" spans="1:13" x14ac:dyDescent="0.3">
      <c r="A648" t="s">
        <v>685</v>
      </c>
      <c r="B648" s="2">
        <v>46013</v>
      </c>
      <c r="C648" t="s">
        <v>24</v>
      </c>
      <c r="D648" t="s">
        <v>20</v>
      </c>
      <c r="E648" t="s">
        <v>21</v>
      </c>
      <c r="F648">
        <v>6</v>
      </c>
      <c r="G648">
        <v>26.37</v>
      </c>
      <c r="H648">
        <v>0.1</v>
      </c>
      <c r="I648">
        <v>142.4</v>
      </c>
      <c r="J648">
        <v>103.91</v>
      </c>
      <c r="K648">
        <v>38.49</v>
      </c>
      <c r="L648" t="s">
        <v>46</v>
      </c>
      <c r="M648">
        <v>0.27029999999999998</v>
      </c>
    </row>
    <row r="649" spans="1:13" x14ac:dyDescent="0.3">
      <c r="A649" t="s">
        <v>686</v>
      </c>
      <c r="B649" s="2">
        <v>45854</v>
      </c>
      <c r="C649" t="s">
        <v>32</v>
      </c>
      <c r="D649" t="s">
        <v>15</v>
      </c>
      <c r="E649" t="s">
        <v>16</v>
      </c>
      <c r="F649">
        <v>7</v>
      </c>
      <c r="G649">
        <v>420.47</v>
      </c>
      <c r="H649">
        <v>0</v>
      </c>
      <c r="I649">
        <v>2943.29</v>
      </c>
      <c r="J649">
        <v>2369.9899999999998</v>
      </c>
      <c r="K649">
        <v>573.29999999999995</v>
      </c>
      <c r="L649" t="s">
        <v>26</v>
      </c>
      <c r="M649">
        <v>0.1948</v>
      </c>
    </row>
    <row r="650" spans="1:13" x14ac:dyDescent="0.3">
      <c r="A650" t="s">
        <v>687</v>
      </c>
      <c r="B650" s="2">
        <v>45676</v>
      </c>
      <c r="C650" t="s">
        <v>19</v>
      </c>
      <c r="D650" t="s">
        <v>28</v>
      </c>
      <c r="E650" t="s">
        <v>21</v>
      </c>
      <c r="F650">
        <v>2</v>
      </c>
      <c r="G650">
        <v>107.26</v>
      </c>
      <c r="H650">
        <v>0</v>
      </c>
      <c r="I650">
        <v>214.52</v>
      </c>
      <c r="J650">
        <v>157.29</v>
      </c>
      <c r="K650">
        <v>57.23</v>
      </c>
      <c r="L650" t="s">
        <v>65</v>
      </c>
      <c r="M650">
        <v>0.26679999999999998</v>
      </c>
    </row>
    <row r="651" spans="1:13" x14ac:dyDescent="0.3">
      <c r="A651" t="s">
        <v>688</v>
      </c>
      <c r="B651" s="2">
        <v>46000</v>
      </c>
      <c r="C651" t="s">
        <v>24</v>
      </c>
      <c r="D651" t="s">
        <v>37</v>
      </c>
      <c r="E651" t="s">
        <v>16</v>
      </c>
      <c r="F651">
        <v>2</v>
      </c>
      <c r="G651">
        <v>182.92</v>
      </c>
      <c r="H651">
        <v>0.05</v>
      </c>
      <c r="I651">
        <v>347.55</v>
      </c>
      <c r="J651">
        <v>249.08</v>
      </c>
      <c r="K651">
        <v>98.47</v>
      </c>
      <c r="L651" t="s">
        <v>46</v>
      </c>
      <c r="M651">
        <v>0.2833</v>
      </c>
    </row>
    <row r="652" spans="1:13" x14ac:dyDescent="0.3">
      <c r="A652" t="s">
        <v>689</v>
      </c>
      <c r="B652" s="2">
        <v>45708</v>
      </c>
      <c r="C652" t="s">
        <v>32</v>
      </c>
      <c r="D652" t="s">
        <v>20</v>
      </c>
      <c r="E652" t="s">
        <v>21</v>
      </c>
      <c r="F652">
        <v>6</v>
      </c>
      <c r="G652">
        <v>60.29</v>
      </c>
      <c r="H652">
        <v>0.05</v>
      </c>
      <c r="I652">
        <v>343.65</v>
      </c>
      <c r="J652">
        <v>251.53</v>
      </c>
      <c r="K652">
        <v>92.12</v>
      </c>
      <c r="L652" t="s">
        <v>29</v>
      </c>
      <c r="M652">
        <v>0.2681</v>
      </c>
    </row>
    <row r="653" spans="1:13" x14ac:dyDescent="0.3">
      <c r="A653" t="s">
        <v>690</v>
      </c>
      <c r="B653" s="2">
        <v>45671</v>
      </c>
      <c r="C653" t="s">
        <v>19</v>
      </c>
      <c r="D653" t="s">
        <v>41</v>
      </c>
      <c r="E653" t="s">
        <v>21</v>
      </c>
      <c r="F653">
        <v>2</v>
      </c>
      <c r="G653">
        <v>52.92</v>
      </c>
      <c r="H653">
        <v>0.1</v>
      </c>
      <c r="I653">
        <v>95.26</v>
      </c>
      <c r="J653">
        <v>71.599999999999994</v>
      </c>
      <c r="K653">
        <v>23.66</v>
      </c>
      <c r="L653" t="s">
        <v>65</v>
      </c>
      <c r="M653">
        <v>0.24840000000000001</v>
      </c>
    </row>
    <row r="654" spans="1:13" x14ac:dyDescent="0.3">
      <c r="A654" t="s">
        <v>691</v>
      </c>
      <c r="B654" s="2">
        <v>45732</v>
      </c>
      <c r="C654" t="s">
        <v>32</v>
      </c>
      <c r="D654" t="s">
        <v>72</v>
      </c>
      <c r="E654" t="s">
        <v>16</v>
      </c>
      <c r="F654">
        <v>3</v>
      </c>
      <c r="G654">
        <v>306.54000000000002</v>
      </c>
      <c r="H654">
        <v>0</v>
      </c>
      <c r="I654">
        <v>919.62</v>
      </c>
      <c r="J654">
        <v>723.99</v>
      </c>
      <c r="K654">
        <v>195.63</v>
      </c>
      <c r="L654" t="s">
        <v>49</v>
      </c>
      <c r="M654">
        <v>0.2127</v>
      </c>
    </row>
    <row r="655" spans="1:13" x14ac:dyDescent="0.3">
      <c r="A655" t="s">
        <v>692</v>
      </c>
      <c r="B655" s="2">
        <v>45839</v>
      </c>
      <c r="C655" t="s">
        <v>14</v>
      </c>
      <c r="D655" t="s">
        <v>41</v>
      </c>
      <c r="E655" t="s">
        <v>21</v>
      </c>
      <c r="F655">
        <v>5</v>
      </c>
      <c r="G655">
        <v>15.43</v>
      </c>
      <c r="H655">
        <v>0.05</v>
      </c>
      <c r="I655">
        <v>73.290000000000006</v>
      </c>
      <c r="J655">
        <v>59.64</v>
      </c>
      <c r="K655">
        <v>13.65</v>
      </c>
      <c r="L655" t="s">
        <v>26</v>
      </c>
      <c r="M655">
        <v>0.1862</v>
      </c>
    </row>
    <row r="656" spans="1:13" x14ac:dyDescent="0.3">
      <c r="A656" t="s">
        <v>693</v>
      </c>
      <c r="B656" s="2">
        <v>45761</v>
      </c>
      <c r="C656" t="s">
        <v>24</v>
      </c>
      <c r="D656" t="s">
        <v>25</v>
      </c>
      <c r="E656" t="s">
        <v>21</v>
      </c>
      <c r="F656">
        <v>3</v>
      </c>
      <c r="G656">
        <v>127.21</v>
      </c>
      <c r="H656">
        <v>0.1</v>
      </c>
      <c r="I656">
        <v>343.47</v>
      </c>
      <c r="J656">
        <v>233.33</v>
      </c>
      <c r="K656">
        <v>110.14</v>
      </c>
      <c r="L656" t="s">
        <v>17</v>
      </c>
      <c r="M656">
        <v>0.32069999999999999</v>
      </c>
    </row>
    <row r="657" spans="1:13" x14ac:dyDescent="0.3">
      <c r="A657" t="s">
        <v>694</v>
      </c>
      <c r="B657" s="2">
        <v>45769</v>
      </c>
      <c r="C657" t="s">
        <v>32</v>
      </c>
      <c r="D657" t="s">
        <v>25</v>
      </c>
      <c r="E657" t="s">
        <v>21</v>
      </c>
      <c r="F657">
        <v>6</v>
      </c>
      <c r="G657">
        <v>105.36</v>
      </c>
      <c r="H657">
        <v>0.05</v>
      </c>
      <c r="I657">
        <v>600.54999999999995</v>
      </c>
      <c r="J657">
        <v>485.06</v>
      </c>
      <c r="K657">
        <v>115.49</v>
      </c>
      <c r="L657" t="s">
        <v>17</v>
      </c>
      <c r="M657">
        <v>0.1923</v>
      </c>
    </row>
    <row r="658" spans="1:13" x14ac:dyDescent="0.3">
      <c r="A658" t="s">
        <v>695</v>
      </c>
      <c r="B658" s="2">
        <v>45879</v>
      </c>
      <c r="C658" t="s">
        <v>14</v>
      </c>
      <c r="D658" t="s">
        <v>15</v>
      </c>
      <c r="E658" t="s">
        <v>16</v>
      </c>
      <c r="F658">
        <v>3</v>
      </c>
      <c r="G658">
        <v>508.83</v>
      </c>
      <c r="H658">
        <v>0.1</v>
      </c>
      <c r="I658">
        <v>1373.84</v>
      </c>
      <c r="J658">
        <v>1061.53</v>
      </c>
      <c r="K658">
        <v>312.31</v>
      </c>
      <c r="L658" t="s">
        <v>44</v>
      </c>
      <c r="M658">
        <v>0.2273</v>
      </c>
    </row>
    <row r="659" spans="1:13" x14ac:dyDescent="0.3">
      <c r="A659" t="s">
        <v>696</v>
      </c>
      <c r="B659" s="2">
        <v>45950</v>
      </c>
      <c r="C659" t="s">
        <v>32</v>
      </c>
      <c r="D659" t="s">
        <v>20</v>
      </c>
      <c r="E659" t="s">
        <v>21</v>
      </c>
      <c r="F659">
        <v>4</v>
      </c>
      <c r="G659">
        <v>71.41</v>
      </c>
      <c r="H659">
        <v>0</v>
      </c>
      <c r="I659">
        <v>285.64</v>
      </c>
      <c r="J659">
        <v>176.21</v>
      </c>
      <c r="K659">
        <v>109.43</v>
      </c>
      <c r="L659" t="s">
        <v>58</v>
      </c>
      <c r="M659">
        <v>0.3831</v>
      </c>
    </row>
    <row r="660" spans="1:13" x14ac:dyDescent="0.3">
      <c r="A660" t="s">
        <v>697</v>
      </c>
      <c r="B660" s="2">
        <v>45956</v>
      </c>
      <c r="C660" t="s">
        <v>14</v>
      </c>
      <c r="D660" t="s">
        <v>25</v>
      </c>
      <c r="E660" t="s">
        <v>21</v>
      </c>
      <c r="F660">
        <v>2</v>
      </c>
      <c r="G660">
        <v>149.77000000000001</v>
      </c>
      <c r="H660">
        <v>0.05</v>
      </c>
      <c r="I660">
        <v>284.56</v>
      </c>
      <c r="J660">
        <v>205.53</v>
      </c>
      <c r="K660">
        <v>79.03</v>
      </c>
      <c r="L660" t="s">
        <v>58</v>
      </c>
      <c r="M660">
        <v>0.2777</v>
      </c>
    </row>
    <row r="661" spans="1:13" x14ac:dyDescent="0.3">
      <c r="A661" t="s">
        <v>698</v>
      </c>
      <c r="B661" s="2">
        <v>45773</v>
      </c>
      <c r="C661" t="s">
        <v>19</v>
      </c>
      <c r="D661" t="s">
        <v>41</v>
      </c>
      <c r="E661" t="s">
        <v>21</v>
      </c>
      <c r="F661">
        <v>5</v>
      </c>
      <c r="G661">
        <v>38.67</v>
      </c>
      <c r="H661">
        <v>0</v>
      </c>
      <c r="I661">
        <v>193.35</v>
      </c>
      <c r="J661">
        <v>140.30000000000001</v>
      </c>
      <c r="K661">
        <v>53.05</v>
      </c>
      <c r="L661" t="s">
        <v>17</v>
      </c>
      <c r="M661">
        <v>0.27439999999999998</v>
      </c>
    </row>
    <row r="662" spans="1:13" x14ac:dyDescent="0.3">
      <c r="A662" t="s">
        <v>699</v>
      </c>
      <c r="B662" s="2">
        <v>45896</v>
      </c>
      <c r="C662" t="s">
        <v>24</v>
      </c>
      <c r="D662" t="s">
        <v>72</v>
      </c>
      <c r="E662" t="s">
        <v>16</v>
      </c>
      <c r="F662">
        <v>6</v>
      </c>
      <c r="G662">
        <v>261.35000000000002</v>
      </c>
      <c r="H662">
        <v>0</v>
      </c>
      <c r="I662">
        <v>1568.1</v>
      </c>
      <c r="J662">
        <v>1234.28</v>
      </c>
      <c r="K662">
        <v>333.82</v>
      </c>
      <c r="L662" t="s">
        <v>44</v>
      </c>
      <c r="M662">
        <v>0.21290000000000001</v>
      </c>
    </row>
    <row r="663" spans="1:13" x14ac:dyDescent="0.3">
      <c r="A663" t="s">
        <v>700</v>
      </c>
      <c r="B663" s="2">
        <v>45836</v>
      </c>
      <c r="C663" t="s">
        <v>24</v>
      </c>
      <c r="D663" t="s">
        <v>72</v>
      </c>
      <c r="E663" t="s">
        <v>16</v>
      </c>
      <c r="F663">
        <v>3</v>
      </c>
      <c r="G663">
        <v>281.73</v>
      </c>
      <c r="H663">
        <v>0</v>
      </c>
      <c r="I663">
        <v>845.19</v>
      </c>
      <c r="J663">
        <v>653.02</v>
      </c>
      <c r="K663">
        <v>192.17</v>
      </c>
      <c r="L663" t="s">
        <v>22</v>
      </c>
      <c r="M663">
        <v>0.22739999999999999</v>
      </c>
    </row>
    <row r="664" spans="1:13" x14ac:dyDescent="0.3">
      <c r="A664" t="s">
        <v>701</v>
      </c>
      <c r="B664" s="2">
        <v>45864</v>
      </c>
      <c r="C664" t="s">
        <v>19</v>
      </c>
      <c r="D664" t="s">
        <v>28</v>
      </c>
      <c r="E664" t="s">
        <v>21</v>
      </c>
      <c r="F664">
        <v>2</v>
      </c>
      <c r="G664">
        <v>162.87</v>
      </c>
      <c r="H664">
        <v>0.05</v>
      </c>
      <c r="I664">
        <v>309.45</v>
      </c>
      <c r="J664">
        <v>225.45</v>
      </c>
      <c r="K664">
        <v>84</v>
      </c>
      <c r="L664" t="s">
        <v>26</v>
      </c>
      <c r="M664">
        <v>0.27139999999999997</v>
      </c>
    </row>
    <row r="665" spans="1:13" x14ac:dyDescent="0.3">
      <c r="A665" t="s">
        <v>702</v>
      </c>
      <c r="B665" s="2">
        <v>45925</v>
      </c>
      <c r="C665" t="s">
        <v>32</v>
      </c>
      <c r="D665" t="s">
        <v>28</v>
      </c>
      <c r="E665" t="s">
        <v>21</v>
      </c>
      <c r="F665">
        <v>6</v>
      </c>
      <c r="G665">
        <v>58.67</v>
      </c>
      <c r="H665">
        <v>0</v>
      </c>
      <c r="I665">
        <v>352.02</v>
      </c>
      <c r="J665">
        <v>240.96</v>
      </c>
      <c r="K665">
        <v>111.06</v>
      </c>
      <c r="L665" t="s">
        <v>38</v>
      </c>
      <c r="M665">
        <v>0.3155</v>
      </c>
    </row>
    <row r="666" spans="1:13" x14ac:dyDescent="0.3">
      <c r="A666" t="s">
        <v>703</v>
      </c>
      <c r="B666" s="2">
        <v>45728</v>
      </c>
      <c r="C666" t="s">
        <v>24</v>
      </c>
      <c r="D666" t="s">
        <v>48</v>
      </c>
      <c r="E666" t="s">
        <v>16</v>
      </c>
      <c r="F666">
        <v>2</v>
      </c>
      <c r="G666">
        <v>1159.68</v>
      </c>
      <c r="H666">
        <v>0</v>
      </c>
      <c r="I666">
        <v>2319.36</v>
      </c>
      <c r="J666">
        <v>1559.87</v>
      </c>
      <c r="K666">
        <v>759.49</v>
      </c>
      <c r="L666" t="s">
        <v>49</v>
      </c>
      <c r="M666">
        <v>0.32750000000000001</v>
      </c>
    </row>
    <row r="667" spans="1:13" x14ac:dyDescent="0.3">
      <c r="A667" t="s">
        <v>704</v>
      </c>
      <c r="B667" s="2">
        <v>45709</v>
      </c>
      <c r="C667" t="s">
        <v>19</v>
      </c>
      <c r="D667" t="s">
        <v>37</v>
      </c>
      <c r="E667" t="s">
        <v>16</v>
      </c>
      <c r="F667">
        <v>2</v>
      </c>
      <c r="G667">
        <v>287.23</v>
      </c>
      <c r="H667">
        <v>0</v>
      </c>
      <c r="I667">
        <v>574.46</v>
      </c>
      <c r="J667">
        <v>463.11</v>
      </c>
      <c r="K667">
        <v>111.35</v>
      </c>
      <c r="L667" t="s">
        <v>29</v>
      </c>
      <c r="M667">
        <v>0.1938</v>
      </c>
    </row>
    <row r="668" spans="1:13" x14ac:dyDescent="0.3">
      <c r="A668" t="s">
        <v>705</v>
      </c>
      <c r="B668" s="2">
        <v>45953</v>
      </c>
      <c r="C668" t="s">
        <v>24</v>
      </c>
      <c r="D668" t="s">
        <v>28</v>
      </c>
      <c r="E668" t="s">
        <v>21</v>
      </c>
      <c r="F668">
        <v>4</v>
      </c>
      <c r="G668">
        <v>215.02</v>
      </c>
      <c r="H668">
        <v>0.1</v>
      </c>
      <c r="I668">
        <v>774.07</v>
      </c>
      <c r="J668">
        <v>628.75</v>
      </c>
      <c r="K668">
        <v>145.32</v>
      </c>
      <c r="L668" t="s">
        <v>58</v>
      </c>
      <c r="M668">
        <v>0.18770000000000001</v>
      </c>
    </row>
    <row r="669" spans="1:13" x14ac:dyDescent="0.3">
      <c r="A669" t="s">
        <v>706</v>
      </c>
      <c r="B669" s="2">
        <v>46007</v>
      </c>
      <c r="C669" t="s">
        <v>24</v>
      </c>
      <c r="D669" t="s">
        <v>72</v>
      </c>
      <c r="E669" t="s">
        <v>16</v>
      </c>
      <c r="F669">
        <v>7</v>
      </c>
      <c r="G669">
        <v>297.56</v>
      </c>
      <c r="H669">
        <v>0</v>
      </c>
      <c r="I669">
        <v>2082.92</v>
      </c>
      <c r="J669">
        <v>1357.76</v>
      </c>
      <c r="K669">
        <v>725.16</v>
      </c>
      <c r="L669" t="s">
        <v>46</v>
      </c>
      <c r="M669">
        <v>0.34810000000000002</v>
      </c>
    </row>
    <row r="670" spans="1:13" x14ac:dyDescent="0.3">
      <c r="A670" t="s">
        <v>707</v>
      </c>
      <c r="B670" s="2">
        <v>45693</v>
      </c>
      <c r="C670" t="s">
        <v>32</v>
      </c>
      <c r="D670" t="s">
        <v>41</v>
      </c>
      <c r="E670" t="s">
        <v>21</v>
      </c>
      <c r="F670">
        <v>2</v>
      </c>
      <c r="G670">
        <v>28.16</v>
      </c>
      <c r="H670">
        <v>0</v>
      </c>
      <c r="I670">
        <v>56.32</v>
      </c>
      <c r="J670">
        <v>41.78</v>
      </c>
      <c r="K670">
        <v>14.54</v>
      </c>
      <c r="L670" t="s">
        <v>29</v>
      </c>
      <c r="M670">
        <v>0.25819999999999999</v>
      </c>
    </row>
    <row r="671" spans="1:13" x14ac:dyDescent="0.3">
      <c r="A671" t="s">
        <v>708</v>
      </c>
      <c r="B671" s="2">
        <v>46001</v>
      </c>
      <c r="C671" t="s">
        <v>19</v>
      </c>
      <c r="D671" t="s">
        <v>37</v>
      </c>
      <c r="E671" t="s">
        <v>16</v>
      </c>
      <c r="F671">
        <v>6</v>
      </c>
      <c r="G671">
        <v>418.45</v>
      </c>
      <c r="H671">
        <v>0.1</v>
      </c>
      <c r="I671">
        <v>2259.63</v>
      </c>
      <c r="J671">
        <v>1352.06</v>
      </c>
      <c r="K671">
        <v>907.57</v>
      </c>
      <c r="L671" t="s">
        <v>46</v>
      </c>
      <c r="M671">
        <v>0.40160000000000001</v>
      </c>
    </row>
    <row r="672" spans="1:13" x14ac:dyDescent="0.3">
      <c r="A672" t="s">
        <v>709</v>
      </c>
      <c r="B672" s="2">
        <v>45959</v>
      </c>
      <c r="C672" t="s">
        <v>24</v>
      </c>
      <c r="D672" t="s">
        <v>72</v>
      </c>
      <c r="E672" t="s">
        <v>16</v>
      </c>
      <c r="F672">
        <v>7</v>
      </c>
      <c r="G672">
        <v>115.63</v>
      </c>
      <c r="H672">
        <v>0.1</v>
      </c>
      <c r="I672">
        <v>728.47</v>
      </c>
      <c r="J672">
        <v>546.05999999999995</v>
      </c>
      <c r="K672">
        <v>182.41</v>
      </c>
      <c r="L672" t="s">
        <v>58</v>
      </c>
      <c r="M672">
        <v>0.25040000000000001</v>
      </c>
    </row>
    <row r="673" spans="1:13" x14ac:dyDescent="0.3">
      <c r="A673" t="s">
        <v>710</v>
      </c>
      <c r="B673" s="2">
        <v>46012</v>
      </c>
      <c r="C673" t="s">
        <v>24</v>
      </c>
      <c r="D673" t="s">
        <v>25</v>
      </c>
      <c r="E673" t="s">
        <v>21</v>
      </c>
      <c r="F673">
        <v>5</v>
      </c>
      <c r="G673">
        <v>92.2</v>
      </c>
      <c r="H673">
        <v>0.1</v>
      </c>
      <c r="I673">
        <v>414.9</v>
      </c>
      <c r="J673">
        <v>270.88</v>
      </c>
      <c r="K673">
        <v>144.02000000000001</v>
      </c>
      <c r="L673" t="s">
        <v>46</v>
      </c>
      <c r="M673">
        <v>0.34710000000000002</v>
      </c>
    </row>
    <row r="674" spans="1:13" x14ac:dyDescent="0.3">
      <c r="A674" t="s">
        <v>711</v>
      </c>
      <c r="B674" s="2">
        <v>45970</v>
      </c>
      <c r="C674" t="s">
        <v>19</v>
      </c>
      <c r="D674" t="s">
        <v>72</v>
      </c>
      <c r="E674" t="s">
        <v>16</v>
      </c>
      <c r="F674">
        <v>4</v>
      </c>
      <c r="G674">
        <v>216.84</v>
      </c>
      <c r="H674">
        <v>0</v>
      </c>
      <c r="I674">
        <v>867.36</v>
      </c>
      <c r="J674">
        <v>598.74</v>
      </c>
      <c r="K674">
        <v>268.62</v>
      </c>
      <c r="L674" t="s">
        <v>35</v>
      </c>
      <c r="M674">
        <v>0.30969999999999998</v>
      </c>
    </row>
    <row r="675" spans="1:13" x14ac:dyDescent="0.3">
      <c r="A675" t="s">
        <v>712</v>
      </c>
      <c r="B675" s="2">
        <v>45833</v>
      </c>
      <c r="C675" t="s">
        <v>14</v>
      </c>
      <c r="D675" t="s">
        <v>37</v>
      </c>
      <c r="E675" t="s">
        <v>16</v>
      </c>
      <c r="F675">
        <v>5</v>
      </c>
      <c r="G675">
        <v>269.77</v>
      </c>
      <c r="H675">
        <v>0.05</v>
      </c>
      <c r="I675">
        <v>1281.4100000000001</v>
      </c>
      <c r="J675">
        <v>966.19</v>
      </c>
      <c r="K675">
        <v>315.22000000000003</v>
      </c>
      <c r="L675" t="s">
        <v>22</v>
      </c>
      <c r="M675">
        <v>0.246</v>
      </c>
    </row>
    <row r="676" spans="1:13" x14ac:dyDescent="0.3">
      <c r="A676" t="s">
        <v>713</v>
      </c>
      <c r="B676" s="2">
        <v>45976</v>
      </c>
      <c r="C676" t="s">
        <v>19</v>
      </c>
      <c r="D676" t="s">
        <v>20</v>
      </c>
      <c r="E676" t="s">
        <v>21</v>
      </c>
      <c r="F676">
        <v>4</v>
      </c>
      <c r="G676">
        <v>98.82</v>
      </c>
      <c r="H676">
        <v>0.1</v>
      </c>
      <c r="I676">
        <v>355.75</v>
      </c>
      <c r="J676">
        <v>233.13</v>
      </c>
      <c r="K676">
        <v>122.62</v>
      </c>
      <c r="L676" t="s">
        <v>35</v>
      </c>
      <c r="M676">
        <v>0.34470000000000001</v>
      </c>
    </row>
    <row r="677" spans="1:13" x14ac:dyDescent="0.3">
      <c r="A677" t="s">
        <v>714</v>
      </c>
      <c r="B677" s="2">
        <v>45876</v>
      </c>
      <c r="C677" t="s">
        <v>32</v>
      </c>
      <c r="D677" t="s">
        <v>15</v>
      </c>
      <c r="E677" t="s">
        <v>16</v>
      </c>
      <c r="F677">
        <v>5</v>
      </c>
      <c r="G677">
        <v>645.04</v>
      </c>
      <c r="H677">
        <v>0.1</v>
      </c>
      <c r="I677">
        <v>2902.68</v>
      </c>
      <c r="J677">
        <v>1942.33</v>
      </c>
      <c r="K677">
        <v>960.35</v>
      </c>
      <c r="L677" t="s">
        <v>44</v>
      </c>
      <c r="M677">
        <v>0.33079999999999998</v>
      </c>
    </row>
    <row r="678" spans="1:13" x14ac:dyDescent="0.3">
      <c r="A678" t="s">
        <v>715</v>
      </c>
      <c r="B678" s="2">
        <v>45868</v>
      </c>
      <c r="C678" t="s">
        <v>24</v>
      </c>
      <c r="D678" t="s">
        <v>37</v>
      </c>
      <c r="E678" t="s">
        <v>16</v>
      </c>
      <c r="F678">
        <v>5</v>
      </c>
      <c r="G678">
        <v>369.91</v>
      </c>
      <c r="H678">
        <v>0.05</v>
      </c>
      <c r="I678">
        <v>1757.07</v>
      </c>
      <c r="J678">
        <v>1222.8599999999999</v>
      </c>
      <c r="K678">
        <v>534.21</v>
      </c>
      <c r="L678" t="s">
        <v>26</v>
      </c>
      <c r="M678">
        <v>0.30399999999999999</v>
      </c>
    </row>
    <row r="679" spans="1:13" x14ac:dyDescent="0.3">
      <c r="A679" t="s">
        <v>716</v>
      </c>
      <c r="B679" s="2">
        <v>45853</v>
      </c>
      <c r="C679" t="s">
        <v>19</v>
      </c>
      <c r="D679" t="s">
        <v>15</v>
      </c>
      <c r="E679" t="s">
        <v>16</v>
      </c>
      <c r="F679">
        <v>1</v>
      </c>
      <c r="G679">
        <v>584.1</v>
      </c>
      <c r="H679">
        <v>0</v>
      </c>
      <c r="I679">
        <v>584.1</v>
      </c>
      <c r="J679">
        <v>384.79</v>
      </c>
      <c r="K679">
        <v>199.31</v>
      </c>
      <c r="L679" t="s">
        <v>26</v>
      </c>
      <c r="M679">
        <v>0.3412</v>
      </c>
    </row>
    <row r="680" spans="1:13" x14ac:dyDescent="0.3">
      <c r="A680" t="s">
        <v>717</v>
      </c>
      <c r="B680" s="2">
        <v>45734</v>
      </c>
      <c r="C680" t="s">
        <v>32</v>
      </c>
      <c r="D680" t="s">
        <v>48</v>
      </c>
      <c r="E680" t="s">
        <v>16</v>
      </c>
      <c r="F680">
        <v>6</v>
      </c>
      <c r="G680">
        <v>1137.1400000000001</v>
      </c>
      <c r="H680">
        <v>0.1</v>
      </c>
      <c r="I680">
        <v>6140.56</v>
      </c>
      <c r="J680">
        <v>4766.83</v>
      </c>
      <c r="K680">
        <v>1373.73</v>
      </c>
      <c r="L680" t="s">
        <v>49</v>
      </c>
      <c r="M680">
        <v>0.22370000000000001</v>
      </c>
    </row>
    <row r="681" spans="1:13" x14ac:dyDescent="0.3">
      <c r="A681" t="s">
        <v>718</v>
      </c>
      <c r="B681" s="2">
        <v>45729</v>
      </c>
      <c r="C681" t="s">
        <v>32</v>
      </c>
      <c r="D681" t="s">
        <v>41</v>
      </c>
      <c r="E681" t="s">
        <v>21</v>
      </c>
      <c r="F681">
        <v>2</v>
      </c>
      <c r="G681">
        <v>66.790000000000006</v>
      </c>
      <c r="H681">
        <v>0</v>
      </c>
      <c r="I681">
        <v>133.58000000000001</v>
      </c>
      <c r="J681">
        <v>108.58</v>
      </c>
      <c r="K681">
        <v>25</v>
      </c>
      <c r="L681" t="s">
        <v>49</v>
      </c>
      <c r="M681">
        <v>0.18720000000000001</v>
      </c>
    </row>
    <row r="682" spans="1:13" x14ac:dyDescent="0.3">
      <c r="A682" t="s">
        <v>719</v>
      </c>
      <c r="B682" s="2">
        <v>45879</v>
      </c>
      <c r="C682" t="s">
        <v>19</v>
      </c>
      <c r="D682" t="s">
        <v>28</v>
      </c>
      <c r="E682" t="s">
        <v>21</v>
      </c>
      <c r="F682">
        <v>3</v>
      </c>
      <c r="G682">
        <v>61.13</v>
      </c>
      <c r="H682">
        <v>0.05</v>
      </c>
      <c r="I682">
        <v>174.22</v>
      </c>
      <c r="J682">
        <v>108.79</v>
      </c>
      <c r="K682">
        <v>65.430000000000007</v>
      </c>
      <c r="L682" t="s">
        <v>44</v>
      </c>
      <c r="M682">
        <v>0.37559999999999999</v>
      </c>
    </row>
    <row r="683" spans="1:13" x14ac:dyDescent="0.3">
      <c r="A683" t="s">
        <v>720</v>
      </c>
      <c r="B683" s="2">
        <v>45857</v>
      </c>
      <c r="C683" t="s">
        <v>19</v>
      </c>
      <c r="D683" t="s">
        <v>41</v>
      </c>
      <c r="E683" t="s">
        <v>21</v>
      </c>
      <c r="F683">
        <v>3</v>
      </c>
      <c r="G683">
        <v>23.52</v>
      </c>
      <c r="H683">
        <v>0.1</v>
      </c>
      <c r="I683">
        <v>63.5</v>
      </c>
      <c r="J683">
        <v>41.18</v>
      </c>
      <c r="K683">
        <v>22.32</v>
      </c>
      <c r="L683" t="s">
        <v>26</v>
      </c>
      <c r="M683">
        <v>0.35149999999999998</v>
      </c>
    </row>
    <row r="684" spans="1:13" x14ac:dyDescent="0.3">
      <c r="A684" t="s">
        <v>721</v>
      </c>
      <c r="B684" s="2">
        <v>45913</v>
      </c>
      <c r="C684" t="s">
        <v>19</v>
      </c>
      <c r="D684" t="s">
        <v>72</v>
      </c>
      <c r="E684" t="s">
        <v>16</v>
      </c>
      <c r="F684">
        <v>6</v>
      </c>
      <c r="G684">
        <v>127.18</v>
      </c>
      <c r="H684">
        <v>0</v>
      </c>
      <c r="I684">
        <v>763.08</v>
      </c>
      <c r="J684">
        <v>588.67999999999995</v>
      </c>
      <c r="K684">
        <v>174.4</v>
      </c>
      <c r="L684" t="s">
        <v>38</v>
      </c>
      <c r="M684">
        <v>0.22850000000000001</v>
      </c>
    </row>
    <row r="685" spans="1:13" x14ac:dyDescent="0.3">
      <c r="A685" t="s">
        <v>722</v>
      </c>
      <c r="B685" s="2">
        <v>45965</v>
      </c>
      <c r="C685" t="s">
        <v>32</v>
      </c>
      <c r="D685" t="s">
        <v>41</v>
      </c>
      <c r="E685" t="s">
        <v>21</v>
      </c>
      <c r="F685">
        <v>1</v>
      </c>
      <c r="G685">
        <v>57.96</v>
      </c>
      <c r="H685">
        <v>0.05</v>
      </c>
      <c r="I685">
        <v>55.06</v>
      </c>
      <c r="J685">
        <v>36.4</v>
      </c>
      <c r="K685">
        <v>18.66</v>
      </c>
      <c r="L685" t="s">
        <v>35</v>
      </c>
      <c r="M685">
        <v>0.33889999999999998</v>
      </c>
    </row>
    <row r="686" spans="1:13" x14ac:dyDescent="0.3">
      <c r="A686" t="s">
        <v>723</v>
      </c>
      <c r="B686" s="2">
        <v>45670</v>
      </c>
      <c r="C686" t="s">
        <v>32</v>
      </c>
      <c r="D686" t="s">
        <v>15</v>
      </c>
      <c r="E686" t="s">
        <v>16</v>
      </c>
      <c r="F686">
        <v>1</v>
      </c>
      <c r="G686">
        <v>298.74</v>
      </c>
      <c r="H686">
        <v>0.05</v>
      </c>
      <c r="I686">
        <v>283.8</v>
      </c>
      <c r="J686">
        <v>200.16</v>
      </c>
      <c r="K686">
        <v>83.64</v>
      </c>
      <c r="L686" t="s">
        <v>65</v>
      </c>
      <c r="M686">
        <v>0.29470000000000002</v>
      </c>
    </row>
    <row r="687" spans="1:13" x14ac:dyDescent="0.3">
      <c r="A687" t="s">
        <v>724</v>
      </c>
      <c r="B687" s="2">
        <v>45930</v>
      </c>
      <c r="C687" t="s">
        <v>24</v>
      </c>
      <c r="D687" t="s">
        <v>15</v>
      </c>
      <c r="E687" t="s">
        <v>16</v>
      </c>
      <c r="F687">
        <v>2</v>
      </c>
      <c r="G687">
        <v>552.52</v>
      </c>
      <c r="H687">
        <v>0.05</v>
      </c>
      <c r="I687">
        <v>1049.79</v>
      </c>
      <c r="J687">
        <v>797.91</v>
      </c>
      <c r="K687">
        <v>251.88</v>
      </c>
      <c r="L687" t="s">
        <v>38</v>
      </c>
      <c r="M687">
        <v>0.2399</v>
      </c>
    </row>
    <row r="688" spans="1:13" x14ac:dyDescent="0.3">
      <c r="A688" t="s">
        <v>725</v>
      </c>
      <c r="B688" s="2">
        <v>45972</v>
      </c>
      <c r="C688" t="s">
        <v>14</v>
      </c>
      <c r="D688" t="s">
        <v>37</v>
      </c>
      <c r="E688" t="s">
        <v>16</v>
      </c>
      <c r="F688">
        <v>2</v>
      </c>
      <c r="G688">
        <v>434.04</v>
      </c>
      <c r="H688">
        <v>0.15</v>
      </c>
      <c r="I688">
        <v>737.87</v>
      </c>
      <c r="J688">
        <v>535.98</v>
      </c>
      <c r="K688">
        <v>201.89</v>
      </c>
      <c r="L688" t="s">
        <v>35</v>
      </c>
      <c r="M688">
        <v>0.27360000000000001</v>
      </c>
    </row>
    <row r="689" spans="1:13" x14ac:dyDescent="0.3">
      <c r="A689" t="s">
        <v>726</v>
      </c>
      <c r="B689" s="2">
        <v>45846</v>
      </c>
      <c r="C689" t="s">
        <v>24</v>
      </c>
      <c r="D689" t="s">
        <v>15</v>
      </c>
      <c r="E689" t="s">
        <v>16</v>
      </c>
      <c r="F689">
        <v>3</v>
      </c>
      <c r="G689">
        <v>457.28</v>
      </c>
      <c r="H689">
        <v>0</v>
      </c>
      <c r="I689">
        <v>1371.84</v>
      </c>
      <c r="J689">
        <v>1050.01</v>
      </c>
      <c r="K689">
        <v>321.83</v>
      </c>
      <c r="L689" t="s">
        <v>26</v>
      </c>
      <c r="M689">
        <v>0.2346</v>
      </c>
    </row>
    <row r="690" spans="1:13" x14ac:dyDescent="0.3">
      <c r="A690" t="s">
        <v>727</v>
      </c>
      <c r="B690" s="2">
        <v>45670</v>
      </c>
      <c r="C690" t="s">
        <v>24</v>
      </c>
      <c r="D690" t="s">
        <v>15</v>
      </c>
      <c r="E690" t="s">
        <v>16</v>
      </c>
      <c r="F690">
        <v>2</v>
      </c>
      <c r="G690">
        <v>537.4</v>
      </c>
      <c r="H690">
        <v>0.05</v>
      </c>
      <c r="I690">
        <v>1021.06</v>
      </c>
      <c r="J690">
        <v>764.75</v>
      </c>
      <c r="K690">
        <v>256.31</v>
      </c>
      <c r="L690" t="s">
        <v>65</v>
      </c>
      <c r="M690">
        <v>0.251</v>
      </c>
    </row>
    <row r="691" spans="1:13" x14ac:dyDescent="0.3">
      <c r="A691" t="s">
        <v>728</v>
      </c>
      <c r="B691" s="2">
        <v>45751</v>
      </c>
      <c r="C691" t="s">
        <v>32</v>
      </c>
      <c r="D691" t="s">
        <v>37</v>
      </c>
      <c r="E691" t="s">
        <v>16</v>
      </c>
      <c r="F691">
        <v>5</v>
      </c>
      <c r="G691">
        <v>359.52</v>
      </c>
      <c r="H691">
        <v>0.05</v>
      </c>
      <c r="I691">
        <v>1707.72</v>
      </c>
      <c r="J691">
        <v>1266.8800000000001</v>
      </c>
      <c r="K691">
        <v>440.84</v>
      </c>
      <c r="L691" t="s">
        <v>17</v>
      </c>
      <c r="M691">
        <v>0.2581</v>
      </c>
    </row>
    <row r="692" spans="1:13" x14ac:dyDescent="0.3">
      <c r="A692" t="s">
        <v>729</v>
      </c>
      <c r="B692" s="2">
        <v>45837</v>
      </c>
      <c r="C692" t="s">
        <v>14</v>
      </c>
      <c r="D692" t="s">
        <v>72</v>
      </c>
      <c r="E692" t="s">
        <v>16</v>
      </c>
      <c r="F692">
        <v>7</v>
      </c>
      <c r="G692">
        <v>258.12</v>
      </c>
      <c r="H692">
        <v>0</v>
      </c>
      <c r="I692">
        <v>1806.84</v>
      </c>
      <c r="J692">
        <v>1338.52</v>
      </c>
      <c r="K692">
        <v>468.32</v>
      </c>
      <c r="L692" t="s">
        <v>22</v>
      </c>
      <c r="M692">
        <v>0.25919999999999999</v>
      </c>
    </row>
    <row r="693" spans="1:13" x14ac:dyDescent="0.3">
      <c r="A693" t="s">
        <v>730</v>
      </c>
      <c r="B693" s="2">
        <v>45970</v>
      </c>
      <c r="C693" t="s">
        <v>24</v>
      </c>
      <c r="D693" t="s">
        <v>41</v>
      </c>
      <c r="E693" t="s">
        <v>21</v>
      </c>
      <c r="F693">
        <v>7</v>
      </c>
      <c r="G693">
        <v>19.77</v>
      </c>
      <c r="H693">
        <v>0.05</v>
      </c>
      <c r="I693">
        <v>131.47</v>
      </c>
      <c r="J693">
        <v>85.04</v>
      </c>
      <c r="K693">
        <v>46.43</v>
      </c>
      <c r="L693" t="s">
        <v>35</v>
      </c>
      <c r="M693">
        <v>0.35320000000000001</v>
      </c>
    </row>
    <row r="694" spans="1:13" x14ac:dyDescent="0.3">
      <c r="A694" t="s">
        <v>731</v>
      </c>
      <c r="B694" s="2">
        <v>45865</v>
      </c>
      <c r="C694" t="s">
        <v>32</v>
      </c>
      <c r="D694" t="s">
        <v>48</v>
      </c>
      <c r="E694" t="s">
        <v>16</v>
      </c>
      <c r="F694">
        <v>6</v>
      </c>
      <c r="G694">
        <v>1197.6600000000001</v>
      </c>
      <c r="H694">
        <v>0.1</v>
      </c>
      <c r="I694">
        <v>6467.36</v>
      </c>
      <c r="J694">
        <v>4920.99</v>
      </c>
      <c r="K694">
        <v>1546.37</v>
      </c>
      <c r="L694" t="s">
        <v>26</v>
      </c>
      <c r="M694">
        <v>0.23910000000000001</v>
      </c>
    </row>
    <row r="695" spans="1:13" x14ac:dyDescent="0.3">
      <c r="A695" t="s">
        <v>732</v>
      </c>
      <c r="B695" s="2">
        <v>45729</v>
      </c>
      <c r="C695" t="s">
        <v>19</v>
      </c>
      <c r="D695" t="s">
        <v>72</v>
      </c>
      <c r="E695" t="s">
        <v>16</v>
      </c>
      <c r="F695">
        <v>7</v>
      </c>
      <c r="G695">
        <v>211.08</v>
      </c>
      <c r="H695">
        <v>0.1</v>
      </c>
      <c r="I695">
        <v>1329.8</v>
      </c>
      <c r="J695">
        <v>1063.3</v>
      </c>
      <c r="K695">
        <v>266.5</v>
      </c>
      <c r="L695" t="s">
        <v>49</v>
      </c>
      <c r="M695">
        <v>0.20039999999999999</v>
      </c>
    </row>
    <row r="696" spans="1:13" x14ac:dyDescent="0.3">
      <c r="A696" t="s">
        <v>733</v>
      </c>
      <c r="B696" s="2">
        <v>45796</v>
      </c>
      <c r="C696" t="s">
        <v>19</v>
      </c>
      <c r="D696" t="s">
        <v>25</v>
      </c>
      <c r="E696" t="s">
        <v>21</v>
      </c>
      <c r="F696">
        <v>4</v>
      </c>
      <c r="G696">
        <v>79.37</v>
      </c>
      <c r="H696">
        <v>0.1</v>
      </c>
      <c r="I696">
        <v>285.73</v>
      </c>
      <c r="J696">
        <v>192.61</v>
      </c>
      <c r="K696">
        <v>93.12</v>
      </c>
      <c r="L696" t="s">
        <v>33</v>
      </c>
      <c r="M696">
        <v>0.32590000000000002</v>
      </c>
    </row>
    <row r="697" spans="1:13" x14ac:dyDescent="0.3">
      <c r="A697" t="s">
        <v>734</v>
      </c>
      <c r="B697" s="2">
        <v>45998</v>
      </c>
      <c r="C697" t="s">
        <v>24</v>
      </c>
      <c r="D697" t="s">
        <v>20</v>
      </c>
      <c r="E697" t="s">
        <v>21</v>
      </c>
      <c r="F697">
        <v>7</v>
      </c>
      <c r="G697">
        <v>98.41</v>
      </c>
      <c r="H697">
        <v>0</v>
      </c>
      <c r="I697">
        <v>688.87</v>
      </c>
      <c r="J697">
        <v>511.54</v>
      </c>
      <c r="K697">
        <v>177.33</v>
      </c>
      <c r="L697" t="s">
        <v>46</v>
      </c>
      <c r="M697">
        <v>0.25740000000000002</v>
      </c>
    </row>
    <row r="698" spans="1:13" x14ac:dyDescent="0.3">
      <c r="A698" t="s">
        <v>735</v>
      </c>
      <c r="B698" s="2">
        <v>45967</v>
      </c>
      <c r="C698" t="s">
        <v>24</v>
      </c>
      <c r="D698" t="s">
        <v>15</v>
      </c>
      <c r="E698" t="s">
        <v>16</v>
      </c>
      <c r="F698">
        <v>6</v>
      </c>
      <c r="G698">
        <v>351.97</v>
      </c>
      <c r="H698">
        <v>0</v>
      </c>
      <c r="I698">
        <v>2111.8200000000002</v>
      </c>
      <c r="J698">
        <v>1604.69</v>
      </c>
      <c r="K698">
        <v>507.13</v>
      </c>
      <c r="L698" t="s">
        <v>35</v>
      </c>
      <c r="M698">
        <v>0.24010000000000001</v>
      </c>
    </row>
    <row r="699" spans="1:13" x14ac:dyDescent="0.3">
      <c r="A699" t="s">
        <v>736</v>
      </c>
      <c r="B699" s="2">
        <v>45772</v>
      </c>
      <c r="C699" t="s">
        <v>14</v>
      </c>
      <c r="D699" t="s">
        <v>48</v>
      </c>
      <c r="E699" t="s">
        <v>16</v>
      </c>
      <c r="F699">
        <v>1</v>
      </c>
      <c r="G699">
        <v>702.38</v>
      </c>
      <c r="H699">
        <v>0</v>
      </c>
      <c r="I699">
        <v>702.38</v>
      </c>
      <c r="J699">
        <v>412.46</v>
      </c>
      <c r="K699">
        <v>289.92</v>
      </c>
      <c r="L699" t="s">
        <v>17</v>
      </c>
      <c r="M699">
        <v>0.4128</v>
      </c>
    </row>
    <row r="700" spans="1:13" x14ac:dyDescent="0.3">
      <c r="A700" t="s">
        <v>737</v>
      </c>
      <c r="B700" s="2">
        <v>45841</v>
      </c>
      <c r="C700" t="s">
        <v>14</v>
      </c>
      <c r="D700" t="s">
        <v>15</v>
      </c>
      <c r="E700" t="s">
        <v>16</v>
      </c>
      <c r="F700">
        <v>3</v>
      </c>
      <c r="G700">
        <v>479.43</v>
      </c>
      <c r="H700">
        <v>0.05</v>
      </c>
      <c r="I700">
        <v>1366.38</v>
      </c>
      <c r="J700">
        <v>1006.77</v>
      </c>
      <c r="K700">
        <v>359.61</v>
      </c>
      <c r="L700" t="s">
        <v>26</v>
      </c>
      <c r="M700">
        <v>0.26319999999999999</v>
      </c>
    </row>
    <row r="701" spans="1:13" x14ac:dyDescent="0.3">
      <c r="A701" t="s">
        <v>738</v>
      </c>
      <c r="B701" s="2">
        <v>45871</v>
      </c>
      <c r="C701" t="s">
        <v>14</v>
      </c>
      <c r="D701" t="s">
        <v>41</v>
      </c>
      <c r="E701" t="s">
        <v>21</v>
      </c>
      <c r="F701">
        <v>2</v>
      </c>
      <c r="G701">
        <v>51.04</v>
      </c>
      <c r="H701">
        <v>0.05</v>
      </c>
      <c r="I701">
        <v>96.98</v>
      </c>
      <c r="J701">
        <v>68.03</v>
      </c>
      <c r="K701">
        <v>28.95</v>
      </c>
      <c r="L701" t="s">
        <v>44</v>
      </c>
      <c r="M701">
        <v>0.29849999999999999</v>
      </c>
    </row>
    <row r="702" spans="1:13" x14ac:dyDescent="0.3">
      <c r="A702" t="s">
        <v>739</v>
      </c>
      <c r="B702" s="2">
        <v>45762</v>
      </c>
      <c r="C702" t="s">
        <v>24</v>
      </c>
      <c r="D702" t="s">
        <v>48</v>
      </c>
      <c r="E702" t="s">
        <v>16</v>
      </c>
      <c r="F702">
        <v>3</v>
      </c>
      <c r="G702">
        <v>770.85</v>
      </c>
      <c r="H702">
        <v>0.05</v>
      </c>
      <c r="I702">
        <v>2196.92</v>
      </c>
      <c r="J702">
        <v>1631.76</v>
      </c>
      <c r="K702">
        <v>565.16</v>
      </c>
      <c r="L702" t="s">
        <v>17</v>
      </c>
      <c r="M702">
        <v>0.25729999999999997</v>
      </c>
    </row>
    <row r="703" spans="1:13" x14ac:dyDescent="0.3">
      <c r="A703" t="s">
        <v>740</v>
      </c>
      <c r="B703" s="2">
        <v>46017</v>
      </c>
      <c r="C703" t="s">
        <v>24</v>
      </c>
      <c r="D703" t="s">
        <v>15</v>
      </c>
      <c r="E703" t="s">
        <v>16</v>
      </c>
      <c r="F703">
        <v>4</v>
      </c>
      <c r="G703">
        <v>645.35</v>
      </c>
      <c r="H703">
        <v>0</v>
      </c>
      <c r="I703">
        <v>2581.4</v>
      </c>
      <c r="J703">
        <v>1707.84</v>
      </c>
      <c r="K703">
        <v>873.56</v>
      </c>
      <c r="L703" t="s">
        <v>46</v>
      </c>
      <c r="M703">
        <v>0.33839999999999998</v>
      </c>
    </row>
    <row r="704" spans="1:13" x14ac:dyDescent="0.3">
      <c r="A704" t="s">
        <v>741</v>
      </c>
      <c r="B704" s="2">
        <v>45865</v>
      </c>
      <c r="C704" t="s">
        <v>14</v>
      </c>
      <c r="D704" t="s">
        <v>20</v>
      </c>
      <c r="E704" t="s">
        <v>21</v>
      </c>
      <c r="F704">
        <v>4</v>
      </c>
      <c r="G704">
        <v>49.8</v>
      </c>
      <c r="H704">
        <v>0</v>
      </c>
      <c r="I704">
        <v>199.2</v>
      </c>
      <c r="J704">
        <v>155.44</v>
      </c>
      <c r="K704">
        <v>43.76</v>
      </c>
      <c r="L704" t="s">
        <v>26</v>
      </c>
      <c r="M704">
        <v>0.21970000000000001</v>
      </c>
    </row>
    <row r="705" spans="1:13" x14ac:dyDescent="0.3">
      <c r="A705" t="s">
        <v>742</v>
      </c>
      <c r="B705" s="2">
        <v>45733</v>
      </c>
      <c r="C705" t="s">
        <v>19</v>
      </c>
      <c r="D705" t="s">
        <v>41</v>
      </c>
      <c r="E705" t="s">
        <v>21</v>
      </c>
      <c r="F705">
        <v>6</v>
      </c>
      <c r="G705">
        <v>15.89</v>
      </c>
      <c r="H705">
        <v>0</v>
      </c>
      <c r="I705">
        <v>95.34</v>
      </c>
      <c r="J705">
        <v>59.02</v>
      </c>
      <c r="K705">
        <v>36.32</v>
      </c>
      <c r="L705" t="s">
        <v>49</v>
      </c>
      <c r="M705">
        <v>0.38100000000000001</v>
      </c>
    </row>
    <row r="706" spans="1:13" x14ac:dyDescent="0.3">
      <c r="A706" t="s">
        <v>743</v>
      </c>
      <c r="B706" s="2">
        <v>45907</v>
      </c>
      <c r="C706" t="s">
        <v>24</v>
      </c>
      <c r="D706" t="s">
        <v>72</v>
      </c>
      <c r="E706" t="s">
        <v>16</v>
      </c>
      <c r="F706">
        <v>7</v>
      </c>
      <c r="G706">
        <v>341.7</v>
      </c>
      <c r="H706">
        <v>0</v>
      </c>
      <c r="I706">
        <v>2391.9</v>
      </c>
      <c r="J706">
        <v>1675.2</v>
      </c>
      <c r="K706">
        <v>716.7</v>
      </c>
      <c r="L706" t="s">
        <v>38</v>
      </c>
      <c r="M706">
        <v>0.29959999999999998</v>
      </c>
    </row>
    <row r="707" spans="1:13" x14ac:dyDescent="0.3">
      <c r="A707" t="s">
        <v>744</v>
      </c>
      <c r="B707" s="2">
        <v>45667</v>
      </c>
      <c r="C707" t="s">
        <v>19</v>
      </c>
      <c r="D707" t="s">
        <v>25</v>
      </c>
      <c r="E707" t="s">
        <v>21</v>
      </c>
      <c r="F707">
        <v>6</v>
      </c>
      <c r="G707">
        <v>116.05</v>
      </c>
      <c r="H707">
        <v>0.1</v>
      </c>
      <c r="I707">
        <v>626.66999999999996</v>
      </c>
      <c r="J707">
        <v>476.85</v>
      </c>
      <c r="K707">
        <v>149.82</v>
      </c>
      <c r="L707" t="s">
        <v>65</v>
      </c>
      <c r="M707">
        <v>0.23910000000000001</v>
      </c>
    </row>
    <row r="708" spans="1:13" x14ac:dyDescent="0.3">
      <c r="A708" t="s">
        <v>745</v>
      </c>
      <c r="B708" s="2">
        <v>45820</v>
      </c>
      <c r="C708" t="s">
        <v>24</v>
      </c>
      <c r="D708" t="s">
        <v>20</v>
      </c>
      <c r="E708" t="s">
        <v>21</v>
      </c>
      <c r="F708">
        <v>5</v>
      </c>
      <c r="G708">
        <v>35.909999999999997</v>
      </c>
      <c r="H708">
        <v>0.15</v>
      </c>
      <c r="I708">
        <v>152.62</v>
      </c>
      <c r="J708">
        <v>117.24</v>
      </c>
      <c r="K708">
        <v>35.380000000000003</v>
      </c>
      <c r="L708" t="s">
        <v>22</v>
      </c>
      <c r="M708">
        <v>0.23180000000000001</v>
      </c>
    </row>
    <row r="709" spans="1:13" x14ac:dyDescent="0.3">
      <c r="A709" t="s">
        <v>746</v>
      </c>
      <c r="B709" s="2">
        <v>45997</v>
      </c>
      <c r="C709" t="s">
        <v>24</v>
      </c>
      <c r="D709" t="s">
        <v>48</v>
      </c>
      <c r="E709" t="s">
        <v>16</v>
      </c>
      <c r="F709">
        <v>5</v>
      </c>
      <c r="G709">
        <v>712.15</v>
      </c>
      <c r="H709">
        <v>0.1</v>
      </c>
      <c r="I709">
        <v>3204.68</v>
      </c>
      <c r="J709">
        <v>2517.19</v>
      </c>
      <c r="K709">
        <v>687.49</v>
      </c>
      <c r="L709" t="s">
        <v>46</v>
      </c>
      <c r="M709">
        <v>0.2145</v>
      </c>
    </row>
    <row r="710" spans="1:13" x14ac:dyDescent="0.3">
      <c r="A710" t="s">
        <v>747</v>
      </c>
      <c r="B710" s="2">
        <v>45746</v>
      </c>
      <c r="C710" t="s">
        <v>14</v>
      </c>
      <c r="D710" t="s">
        <v>15</v>
      </c>
      <c r="E710" t="s">
        <v>16</v>
      </c>
      <c r="F710">
        <v>4</v>
      </c>
      <c r="G710">
        <v>327.52</v>
      </c>
      <c r="H710">
        <v>0.05</v>
      </c>
      <c r="I710">
        <v>1244.58</v>
      </c>
      <c r="J710">
        <v>802.99</v>
      </c>
      <c r="K710">
        <v>441.59</v>
      </c>
      <c r="L710" t="s">
        <v>49</v>
      </c>
      <c r="M710">
        <v>0.3548</v>
      </c>
    </row>
    <row r="711" spans="1:13" x14ac:dyDescent="0.3">
      <c r="A711" t="s">
        <v>748</v>
      </c>
      <c r="B711" s="2">
        <v>45871</v>
      </c>
      <c r="C711" t="s">
        <v>32</v>
      </c>
      <c r="D711" t="s">
        <v>25</v>
      </c>
      <c r="E711" t="s">
        <v>21</v>
      </c>
      <c r="F711">
        <v>3</v>
      </c>
      <c r="G711">
        <v>74.47</v>
      </c>
      <c r="H711">
        <v>0</v>
      </c>
      <c r="I711">
        <v>223.41</v>
      </c>
      <c r="J711">
        <v>174.13</v>
      </c>
      <c r="K711">
        <v>49.28</v>
      </c>
      <c r="L711" t="s">
        <v>44</v>
      </c>
      <c r="M711">
        <v>0.22059999999999999</v>
      </c>
    </row>
    <row r="712" spans="1:13" x14ac:dyDescent="0.3">
      <c r="A712" t="s">
        <v>749</v>
      </c>
      <c r="B712" s="2">
        <v>45907</v>
      </c>
      <c r="C712" t="s">
        <v>14</v>
      </c>
      <c r="D712" t="s">
        <v>25</v>
      </c>
      <c r="E712" t="s">
        <v>21</v>
      </c>
      <c r="F712">
        <v>5</v>
      </c>
      <c r="G712">
        <v>99.09</v>
      </c>
      <c r="H712">
        <v>0</v>
      </c>
      <c r="I712">
        <v>495.45</v>
      </c>
      <c r="J712">
        <v>345.96</v>
      </c>
      <c r="K712">
        <v>149.49</v>
      </c>
      <c r="L712" t="s">
        <v>38</v>
      </c>
      <c r="M712">
        <v>0.30170000000000002</v>
      </c>
    </row>
    <row r="713" spans="1:13" x14ac:dyDescent="0.3">
      <c r="A713" t="s">
        <v>750</v>
      </c>
      <c r="B713" s="2">
        <v>45727</v>
      </c>
      <c r="C713" t="s">
        <v>32</v>
      </c>
      <c r="D713" t="s">
        <v>41</v>
      </c>
      <c r="E713" t="s">
        <v>21</v>
      </c>
      <c r="F713">
        <v>7</v>
      </c>
      <c r="G713">
        <v>39.33</v>
      </c>
      <c r="H713">
        <v>0</v>
      </c>
      <c r="I713">
        <v>275.31</v>
      </c>
      <c r="J713">
        <v>167.38</v>
      </c>
      <c r="K713">
        <v>107.93</v>
      </c>
      <c r="L713" t="s">
        <v>49</v>
      </c>
      <c r="M713">
        <v>0.39200000000000002</v>
      </c>
    </row>
    <row r="714" spans="1:13" x14ac:dyDescent="0.3">
      <c r="A714" t="s">
        <v>751</v>
      </c>
      <c r="B714" s="2">
        <v>45884</v>
      </c>
      <c r="C714" t="s">
        <v>14</v>
      </c>
      <c r="D714" t="s">
        <v>20</v>
      </c>
      <c r="E714" t="s">
        <v>21</v>
      </c>
      <c r="F714">
        <v>4</v>
      </c>
      <c r="G714">
        <v>94.64</v>
      </c>
      <c r="H714">
        <v>0.05</v>
      </c>
      <c r="I714">
        <v>359.63</v>
      </c>
      <c r="J714">
        <v>288.99</v>
      </c>
      <c r="K714">
        <v>70.64</v>
      </c>
      <c r="L714" t="s">
        <v>44</v>
      </c>
      <c r="M714">
        <v>0.19639999999999999</v>
      </c>
    </row>
    <row r="715" spans="1:13" x14ac:dyDescent="0.3">
      <c r="A715" t="s">
        <v>752</v>
      </c>
      <c r="B715" s="2">
        <v>45837</v>
      </c>
      <c r="C715" t="s">
        <v>32</v>
      </c>
      <c r="D715" t="s">
        <v>72</v>
      </c>
      <c r="E715" t="s">
        <v>16</v>
      </c>
      <c r="F715">
        <v>7</v>
      </c>
      <c r="G715">
        <v>271.92</v>
      </c>
      <c r="H715">
        <v>0</v>
      </c>
      <c r="I715">
        <v>1903.44</v>
      </c>
      <c r="J715">
        <v>1360.08</v>
      </c>
      <c r="K715">
        <v>543.36</v>
      </c>
      <c r="L715" t="s">
        <v>22</v>
      </c>
      <c r="M715">
        <v>0.28549999999999998</v>
      </c>
    </row>
    <row r="716" spans="1:13" x14ac:dyDescent="0.3">
      <c r="A716" t="s">
        <v>753</v>
      </c>
      <c r="B716" s="2">
        <v>45838</v>
      </c>
      <c r="C716" t="s">
        <v>19</v>
      </c>
      <c r="D716" t="s">
        <v>72</v>
      </c>
      <c r="E716" t="s">
        <v>16</v>
      </c>
      <c r="F716">
        <v>7</v>
      </c>
      <c r="G716">
        <v>156.02000000000001</v>
      </c>
      <c r="H716">
        <v>0.1</v>
      </c>
      <c r="I716">
        <v>982.93</v>
      </c>
      <c r="J716">
        <v>593.39</v>
      </c>
      <c r="K716">
        <v>389.54</v>
      </c>
      <c r="L716" t="s">
        <v>22</v>
      </c>
      <c r="M716">
        <v>0.39629999999999999</v>
      </c>
    </row>
    <row r="717" spans="1:13" x14ac:dyDescent="0.3">
      <c r="A717" t="s">
        <v>754</v>
      </c>
      <c r="B717" s="2">
        <v>45897</v>
      </c>
      <c r="C717" t="s">
        <v>14</v>
      </c>
      <c r="D717" t="s">
        <v>28</v>
      </c>
      <c r="E717" t="s">
        <v>21</v>
      </c>
      <c r="F717">
        <v>3</v>
      </c>
      <c r="G717">
        <v>216.41</v>
      </c>
      <c r="H717">
        <v>0</v>
      </c>
      <c r="I717">
        <v>649.23</v>
      </c>
      <c r="J717">
        <v>387.03</v>
      </c>
      <c r="K717">
        <v>262.2</v>
      </c>
      <c r="L717" t="s">
        <v>44</v>
      </c>
      <c r="M717">
        <v>0.40389999999999998</v>
      </c>
    </row>
    <row r="718" spans="1:13" x14ac:dyDescent="0.3">
      <c r="A718" t="s">
        <v>755</v>
      </c>
      <c r="B718" s="2">
        <v>45747</v>
      </c>
      <c r="C718" t="s">
        <v>32</v>
      </c>
      <c r="D718" t="s">
        <v>48</v>
      </c>
      <c r="E718" t="s">
        <v>16</v>
      </c>
      <c r="F718">
        <v>4</v>
      </c>
      <c r="G718">
        <v>951.01</v>
      </c>
      <c r="H718">
        <v>0.1</v>
      </c>
      <c r="I718">
        <v>3423.64</v>
      </c>
      <c r="J718">
        <v>2169</v>
      </c>
      <c r="K718">
        <v>1254.6400000000001</v>
      </c>
      <c r="L718" t="s">
        <v>49</v>
      </c>
      <c r="M718">
        <v>0.36649999999999999</v>
      </c>
    </row>
    <row r="719" spans="1:13" x14ac:dyDescent="0.3">
      <c r="A719" t="s">
        <v>756</v>
      </c>
      <c r="B719" s="2">
        <v>45751</v>
      </c>
      <c r="C719" t="s">
        <v>32</v>
      </c>
      <c r="D719" t="s">
        <v>20</v>
      </c>
      <c r="E719" t="s">
        <v>21</v>
      </c>
      <c r="F719">
        <v>7</v>
      </c>
      <c r="G719">
        <v>78.319999999999993</v>
      </c>
      <c r="H719">
        <v>0</v>
      </c>
      <c r="I719">
        <v>548.24</v>
      </c>
      <c r="J719">
        <v>373.71</v>
      </c>
      <c r="K719">
        <v>174.53</v>
      </c>
      <c r="L719" t="s">
        <v>17</v>
      </c>
      <c r="M719">
        <v>0.31830000000000003</v>
      </c>
    </row>
    <row r="720" spans="1:13" x14ac:dyDescent="0.3">
      <c r="A720" t="s">
        <v>757</v>
      </c>
      <c r="B720" s="2">
        <v>45688</v>
      </c>
      <c r="C720" t="s">
        <v>24</v>
      </c>
      <c r="D720" t="s">
        <v>15</v>
      </c>
      <c r="E720" t="s">
        <v>16</v>
      </c>
      <c r="F720">
        <v>7</v>
      </c>
      <c r="G720">
        <v>547.55999999999995</v>
      </c>
      <c r="H720">
        <v>0</v>
      </c>
      <c r="I720">
        <v>3832.92</v>
      </c>
      <c r="J720">
        <v>2355.84</v>
      </c>
      <c r="K720">
        <v>1477.08</v>
      </c>
      <c r="L720" t="s">
        <v>65</v>
      </c>
      <c r="M720">
        <v>0.38540000000000002</v>
      </c>
    </row>
    <row r="721" spans="1:13" x14ac:dyDescent="0.3">
      <c r="A721" t="s">
        <v>758</v>
      </c>
      <c r="B721" s="2">
        <v>45978</v>
      </c>
      <c r="C721" t="s">
        <v>32</v>
      </c>
      <c r="D721" t="s">
        <v>48</v>
      </c>
      <c r="E721" t="s">
        <v>16</v>
      </c>
      <c r="F721">
        <v>4</v>
      </c>
      <c r="G721">
        <v>890.33</v>
      </c>
      <c r="H721">
        <v>0</v>
      </c>
      <c r="I721">
        <v>3561.32</v>
      </c>
      <c r="J721">
        <v>2911.25</v>
      </c>
      <c r="K721">
        <v>650.07000000000005</v>
      </c>
      <c r="L721" t="s">
        <v>35</v>
      </c>
      <c r="M721">
        <v>0.1825</v>
      </c>
    </row>
    <row r="722" spans="1:13" x14ac:dyDescent="0.3">
      <c r="A722" t="s">
        <v>759</v>
      </c>
      <c r="B722" s="2">
        <v>45823</v>
      </c>
      <c r="C722" t="s">
        <v>19</v>
      </c>
      <c r="D722" t="s">
        <v>15</v>
      </c>
      <c r="E722" t="s">
        <v>16</v>
      </c>
      <c r="F722">
        <v>2</v>
      </c>
      <c r="G722">
        <v>348.83</v>
      </c>
      <c r="H722">
        <v>0.1</v>
      </c>
      <c r="I722">
        <v>627.89</v>
      </c>
      <c r="J722">
        <v>487.85</v>
      </c>
      <c r="K722">
        <v>140.04</v>
      </c>
      <c r="L722" t="s">
        <v>22</v>
      </c>
      <c r="M722">
        <v>0.223</v>
      </c>
    </row>
    <row r="723" spans="1:13" x14ac:dyDescent="0.3">
      <c r="A723" t="s">
        <v>760</v>
      </c>
      <c r="B723" s="2">
        <v>45802</v>
      </c>
      <c r="C723" t="s">
        <v>14</v>
      </c>
      <c r="D723" t="s">
        <v>28</v>
      </c>
      <c r="E723" t="s">
        <v>21</v>
      </c>
      <c r="F723">
        <v>6</v>
      </c>
      <c r="G723">
        <v>184.06</v>
      </c>
      <c r="H723">
        <v>0</v>
      </c>
      <c r="I723">
        <v>1104.3599999999999</v>
      </c>
      <c r="J723">
        <v>695.94</v>
      </c>
      <c r="K723">
        <v>408.42</v>
      </c>
      <c r="L723" t="s">
        <v>33</v>
      </c>
      <c r="M723">
        <v>0.36980000000000002</v>
      </c>
    </row>
    <row r="724" spans="1:13" x14ac:dyDescent="0.3">
      <c r="A724" t="s">
        <v>761</v>
      </c>
      <c r="B724" s="2">
        <v>45729</v>
      </c>
      <c r="C724" t="s">
        <v>32</v>
      </c>
      <c r="D724" t="s">
        <v>48</v>
      </c>
      <c r="E724" t="s">
        <v>16</v>
      </c>
      <c r="F724">
        <v>6</v>
      </c>
      <c r="G724">
        <v>1143.3800000000001</v>
      </c>
      <c r="H724">
        <v>0.05</v>
      </c>
      <c r="I724">
        <v>6517.27</v>
      </c>
      <c r="J724">
        <v>4065.74</v>
      </c>
      <c r="K724">
        <v>2451.5300000000002</v>
      </c>
      <c r="L724" t="s">
        <v>49</v>
      </c>
      <c r="M724">
        <v>0.37619999999999998</v>
      </c>
    </row>
    <row r="725" spans="1:13" x14ac:dyDescent="0.3">
      <c r="A725" t="s">
        <v>762</v>
      </c>
      <c r="B725" s="2">
        <v>45820</v>
      </c>
      <c r="C725" t="s">
        <v>24</v>
      </c>
      <c r="D725" t="s">
        <v>15</v>
      </c>
      <c r="E725" t="s">
        <v>16</v>
      </c>
      <c r="F725">
        <v>6</v>
      </c>
      <c r="G725">
        <v>538.09</v>
      </c>
      <c r="H725">
        <v>0.1</v>
      </c>
      <c r="I725">
        <v>2905.69</v>
      </c>
      <c r="J725">
        <v>1877.6</v>
      </c>
      <c r="K725">
        <v>1028.0899999999999</v>
      </c>
      <c r="L725" t="s">
        <v>22</v>
      </c>
      <c r="M725">
        <v>0.3538</v>
      </c>
    </row>
    <row r="726" spans="1:13" x14ac:dyDescent="0.3">
      <c r="A726" t="s">
        <v>763</v>
      </c>
      <c r="B726" s="2">
        <v>45683</v>
      </c>
      <c r="C726" t="s">
        <v>19</v>
      </c>
      <c r="D726" t="s">
        <v>25</v>
      </c>
      <c r="E726" t="s">
        <v>21</v>
      </c>
      <c r="F726">
        <v>5</v>
      </c>
      <c r="G726">
        <v>151.38999999999999</v>
      </c>
      <c r="H726">
        <v>0.05</v>
      </c>
      <c r="I726">
        <v>719.1</v>
      </c>
      <c r="J726">
        <v>508.82</v>
      </c>
      <c r="K726">
        <v>210.28</v>
      </c>
      <c r="L726" t="s">
        <v>65</v>
      </c>
      <c r="M726">
        <v>0.29239999999999999</v>
      </c>
    </row>
    <row r="727" spans="1:13" x14ac:dyDescent="0.3">
      <c r="A727" t="s">
        <v>764</v>
      </c>
      <c r="B727" s="2">
        <v>45803</v>
      </c>
      <c r="C727" t="s">
        <v>24</v>
      </c>
      <c r="D727" t="s">
        <v>28</v>
      </c>
      <c r="E727" t="s">
        <v>21</v>
      </c>
      <c r="F727">
        <v>2</v>
      </c>
      <c r="G727">
        <v>110.43</v>
      </c>
      <c r="H727">
        <v>0</v>
      </c>
      <c r="I727">
        <v>220.86</v>
      </c>
      <c r="J727">
        <v>162.88999999999999</v>
      </c>
      <c r="K727">
        <v>57.97</v>
      </c>
      <c r="L727" t="s">
        <v>33</v>
      </c>
      <c r="M727">
        <v>0.26250000000000001</v>
      </c>
    </row>
    <row r="728" spans="1:13" x14ac:dyDescent="0.3">
      <c r="A728" t="s">
        <v>765</v>
      </c>
      <c r="B728" s="2">
        <v>45676</v>
      </c>
      <c r="C728" t="s">
        <v>19</v>
      </c>
      <c r="D728" t="s">
        <v>48</v>
      </c>
      <c r="E728" t="s">
        <v>16</v>
      </c>
      <c r="F728">
        <v>1</v>
      </c>
      <c r="G728">
        <v>1014.59</v>
      </c>
      <c r="H728">
        <v>0</v>
      </c>
      <c r="I728">
        <v>1014.59</v>
      </c>
      <c r="J728">
        <v>690.16</v>
      </c>
      <c r="K728">
        <v>324.43</v>
      </c>
      <c r="L728" t="s">
        <v>65</v>
      </c>
      <c r="M728">
        <v>0.31979999999999997</v>
      </c>
    </row>
    <row r="729" spans="1:13" x14ac:dyDescent="0.3">
      <c r="A729" t="s">
        <v>766</v>
      </c>
      <c r="B729" s="2">
        <v>45757</v>
      </c>
      <c r="C729" t="s">
        <v>19</v>
      </c>
      <c r="D729" t="s">
        <v>20</v>
      </c>
      <c r="E729" t="s">
        <v>21</v>
      </c>
      <c r="F729">
        <v>7</v>
      </c>
      <c r="G729">
        <v>87.87</v>
      </c>
      <c r="H729">
        <v>0</v>
      </c>
      <c r="I729">
        <v>615.09</v>
      </c>
      <c r="J729">
        <v>409.11</v>
      </c>
      <c r="K729">
        <v>205.98</v>
      </c>
      <c r="L729" t="s">
        <v>17</v>
      </c>
      <c r="M729">
        <v>0.33489999999999998</v>
      </c>
    </row>
    <row r="730" spans="1:13" x14ac:dyDescent="0.3">
      <c r="A730" t="s">
        <v>767</v>
      </c>
      <c r="B730" s="2">
        <v>45802</v>
      </c>
      <c r="C730" t="s">
        <v>19</v>
      </c>
      <c r="D730" t="s">
        <v>72</v>
      </c>
      <c r="E730" t="s">
        <v>16</v>
      </c>
      <c r="F730">
        <v>2</v>
      </c>
      <c r="G730">
        <v>306.75</v>
      </c>
      <c r="H730">
        <v>0.1</v>
      </c>
      <c r="I730">
        <v>552.15</v>
      </c>
      <c r="J730">
        <v>401.32</v>
      </c>
      <c r="K730">
        <v>150.83000000000001</v>
      </c>
      <c r="L730" t="s">
        <v>33</v>
      </c>
      <c r="M730">
        <v>0.2732</v>
      </c>
    </row>
    <row r="731" spans="1:13" x14ac:dyDescent="0.3">
      <c r="A731" t="s">
        <v>768</v>
      </c>
      <c r="B731" s="2">
        <v>45971</v>
      </c>
      <c r="C731" t="s">
        <v>24</v>
      </c>
      <c r="D731" t="s">
        <v>20</v>
      </c>
      <c r="E731" t="s">
        <v>21</v>
      </c>
      <c r="F731">
        <v>2</v>
      </c>
      <c r="G731">
        <v>35.06</v>
      </c>
      <c r="H731">
        <v>0</v>
      </c>
      <c r="I731">
        <v>70.12</v>
      </c>
      <c r="J731">
        <v>47.62</v>
      </c>
      <c r="K731">
        <v>22.5</v>
      </c>
      <c r="L731" t="s">
        <v>35</v>
      </c>
      <c r="M731">
        <v>0.32090000000000002</v>
      </c>
    </row>
    <row r="732" spans="1:13" x14ac:dyDescent="0.3">
      <c r="A732" t="s">
        <v>769</v>
      </c>
      <c r="B732" s="2">
        <v>45844</v>
      </c>
      <c r="C732" t="s">
        <v>24</v>
      </c>
      <c r="D732" t="s">
        <v>25</v>
      </c>
      <c r="E732" t="s">
        <v>21</v>
      </c>
      <c r="F732">
        <v>5</v>
      </c>
      <c r="G732">
        <v>39.11</v>
      </c>
      <c r="H732">
        <v>0</v>
      </c>
      <c r="I732">
        <v>195.55</v>
      </c>
      <c r="J732">
        <v>121.95</v>
      </c>
      <c r="K732">
        <v>73.599999999999994</v>
      </c>
      <c r="L732" t="s">
        <v>26</v>
      </c>
      <c r="M732">
        <v>0.37640000000000001</v>
      </c>
    </row>
    <row r="733" spans="1:13" x14ac:dyDescent="0.3">
      <c r="A733" t="s">
        <v>770</v>
      </c>
      <c r="B733" s="2">
        <v>45851</v>
      </c>
      <c r="C733" t="s">
        <v>19</v>
      </c>
      <c r="D733" t="s">
        <v>41</v>
      </c>
      <c r="E733" t="s">
        <v>21</v>
      </c>
      <c r="F733">
        <v>6</v>
      </c>
      <c r="G733">
        <v>21.85</v>
      </c>
      <c r="H733">
        <v>0</v>
      </c>
      <c r="I733">
        <v>131.1</v>
      </c>
      <c r="J733">
        <v>92.35</v>
      </c>
      <c r="K733">
        <v>38.75</v>
      </c>
      <c r="L733" t="s">
        <v>26</v>
      </c>
      <c r="M733">
        <v>0.29559999999999997</v>
      </c>
    </row>
    <row r="734" spans="1:13" x14ac:dyDescent="0.3">
      <c r="A734" t="s">
        <v>771</v>
      </c>
      <c r="B734" s="2">
        <v>45702</v>
      </c>
      <c r="C734" t="s">
        <v>14</v>
      </c>
      <c r="D734" t="s">
        <v>20</v>
      </c>
      <c r="E734" t="s">
        <v>21</v>
      </c>
      <c r="F734">
        <v>6</v>
      </c>
      <c r="G734">
        <v>55.18</v>
      </c>
      <c r="H734">
        <v>0.15</v>
      </c>
      <c r="I734">
        <v>281.42</v>
      </c>
      <c r="J734">
        <v>180.94</v>
      </c>
      <c r="K734">
        <v>100.48</v>
      </c>
      <c r="L734" t="s">
        <v>29</v>
      </c>
      <c r="M734">
        <v>0.35699999999999998</v>
      </c>
    </row>
    <row r="735" spans="1:13" x14ac:dyDescent="0.3">
      <c r="A735" t="s">
        <v>772</v>
      </c>
      <c r="B735" s="2">
        <v>45970</v>
      </c>
      <c r="C735" t="s">
        <v>24</v>
      </c>
      <c r="D735" t="s">
        <v>72</v>
      </c>
      <c r="E735" t="s">
        <v>16</v>
      </c>
      <c r="F735">
        <v>7</v>
      </c>
      <c r="G735">
        <v>332.92</v>
      </c>
      <c r="H735">
        <v>0.15</v>
      </c>
      <c r="I735">
        <v>1980.87</v>
      </c>
      <c r="J735">
        <v>1450.99</v>
      </c>
      <c r="K735">
        <v>529.88</v>
      </c>
      <c r="L735" t="s">
        <v>35</v>
      </c>
      <c r="M735">
        <v>0.26750000000000002</v>
      </c>
    </row>
    <row r="736" spans="1:13" x14ac:dyDescent="0.3">
      <c r="A736" t="s">
        <v>773</v>
      </c>
      <c r="B736" s="2">
        <v>45878</v>
      </c>
      <c r="C736" t="s">
        <v>19</v>
      </c>
      <c r="D736" t="s">
        <v>20</v>
      </c>
      <c r="E736" t="s">
        <v>21</v>
      </c>
      <c r="F736">
        <v>6</v>
      </c>
      <c r="G736">
        <v>96.48</v>
      </c>
      <c r="H736">
        <v>0.05</v>
      </c>
      <c r="I736">
        <v>549.94000000000005</v>
      </c>
      <c r="J736">
        <v>408.38</v>
      </c>
      <c r="K736">
        <v>141.56</v>
      </c>
      <c r="L736" t="s">
        <v>44</v>
      </c>
      <c r="M736">
        <v>0.25740000000000002</v>
      </c>
    </row>
    <row r="737" spans="1:13" x14ac:dyDescent="0.3">
      <c r="A737" t="s">
        <v>774</v>
      </c>
      <c r="B737" s="2">
        <v>45779</v>
      </c>
      <c r="C737" t="s">
        <v>32</v>
      </c>
      <c r="D737" t="s">
        <v>41</v>
      </c>
      <c r="E737" t="s">
        <v>21</v>
      </c>
      <c r="F737">
        <v>2</v>
      </c>
      <c r="G737">
        <v>63.94</v>
      </c>
      <c r="H737">
        <v>0</v>
      </c>
      <c r="I737">
        <v>127.88</v>
      </c>
      <c r="J737">
        <v>99.73</v>
      </c>
      <c r="K737">
        <v>28.15</v>
      </c>
      <c r="L737" t="s">
        <v>33</v>
      </c>
      <c r="M737">
        <v>0.22009999999999999</v>
      </c>
    </row>
    <row r="738" spans="1:13" x14ac:dyDescent="0.3">
      <c r="A738" t="s">
        <v>775</v>
      </c>
      <c r="B738" s="2">
        <v>45803</v>
      </c>
      <c r="C738" t="s">
        <v>19</v>
      </c>
      <c r="D738" t="s">
        <v>25</v>
      </c>
      <c r="E738" t="s">
        <v>21</v>
      </c>
      <c r="F738">
        <v>4</v>
      </c>
      <c r="G738">
        <v>79.28</v>
      </c>
      <c r="H738">
        <v>0.15</v>
      </c>
      <c r="I738">
        <v>269.55</v>
      </c>
      <c r="J738">
        <v>172.59</v>
      </c>
      <c r="K738">
        <v>96.96</v>
      </c>
      <c r="L738" t="s">
        <v>33</v>
      </c>
      <c r="M738">
        <v>0.35970000000000002</v>
      </c>
    </row>
    <row r="739" spans="1:13" x14ac:dyDescent="0.3">
      <c r="A739" t="s">
        <v>776</v>
      </c>
      <c r="B739" s="2">
        <v>45769</v>
      </c>
      <c r="C739" t="s">
        <v>24</v>
      </c>
      <c r="D739" t="s">
        <v>72</v>
      </c>
      <c r="E739" t="s">
        <v>16</v>
      </c>
      <c r="F739">
        <v>2</v>
      </c>
      <c r="G739">
        <v>223.66</v>
      </c>
      <c r="H739">
        <v>0</v>
      </c>
      <c r="I739">
        <v>447.32</v>
      </c>
      <c r="J739">
        <v>320.97000000000003</v>
      </c>
      <c r="K739">
        <v>126.35</v>
      </c>
      <c r="L739" t="s">
        <v>17</v>
      </c>
      <c r="M739">
        <v>0.28249999999999997</v>
      </c>
    </row>
    <row r="740" spans="1:13" x14ac:dyDescent="0.3">
      <c r="A740" t="s">
        <v>777</v>
      </c>
      <c r="B740" s="2">
        <v>45994</v>
      </c>
      <c r="C740" t="s">
        <v>32</v>
      </c>
      <c r="D740" t="s">
        <v>20</v>
      </c>
      <c r="E740" t="s">
        <v>21</v>
      </c>
      <c r="F740">
        <v>7</v>
      </c>
      <c r="G740">
        <v>50.84</v>
      </c>
      <c r="H740">
        <v>0</v>
      </c>
      <c r="I740">
        <v>355.88</v>
      </c>
      <c r="J740">
        <v>289.97000000000003</v>
      </c>
      <c r="K740">
        <v>65.91</v>
      </c>
      <c r="L740" t="s">
        <v>46</v>
      </c>
      <c r="M740">
        <v>0.1852</v>
      </c>
    </row>
    <row r="741" spans="1:13" x14ac:dyDescent="0.3">
      <c r="A741" t="s">
        <v>778</v>
      </c>
      <c r="B741" s="2">
        <v>45850</v>
      </c>
      <c r="C741" t="s">
        <v>24</v>
      </c>
      <c r="D741" t="s">
        <v>20</v>
      </c>
      <c r="E741" t="s">
        <v>21</v>
      </c>
      <c r="F741">
        <v>5</v>
      </c>
      <c r="G741">
        <v>106.43</v>
      </c>
      <c r="H741">
        <v>0.1</v>
      </c>
      <c r="I741">
        <v>478.94</v>
      </c>
      <c r="J741">
        <v>328.43</v>
      </c>
      <c r="K741">
        <v>150.51</v>
      </c>
      <c r="L741" t="s">
        <v>26</v>
      </c>
      <c r="M741">
        <v>0.31430000000000002</v>
      </c>
    </row>
    <row r="742" spans="1:13" x14ac:dyDescent="0.3">
      <c r="A742" t="s">
        <v>779</v>
      </c>
      <c r="B742" s="2">
        <v>45973</v>
      </c>
      <c r="C742" t="s">
        <v>24</v>
      </c>
      <c r="D742" t="s">
        <v>25</v>
      </c>
      <c r="E742" t="s">
        <v>21</v>
      </c>
      <c r="F742">
        <v>7</v>
      </c>
      <c r="G742">
        <v>64.569999999999993</v>
      </c>
      <c r="H742">
        <v>0.15</v>
      </c>
      <c r="I742">
        <v>384.19</v>
      </c>
      <c r="J742">
        <v>225.21</v>
      </c>
      <c r="K742">
        <v>158.97999999999999</v>
      </c>
      <c r="L742" t="s">
        <v>35</v>
      </c>
      <c r="M742">
        <v>0.4138</v>
      </c>
    </row>
    <row r="743" spans="1:13" x14ac:dyDescent="0.3">
      <c r="A743" t="s">
        <v>780</v>
      </c>
      <c r="B743" s="2">
        <v>45936</v>
      </c>
      <c r="C743" t="s">
        <v>14</v>
      </c>
      <c r="D743" t="s">
        <v>15</v>
      </c>
      <c r="E743" t="s">
        <v>16</v>
      </c>
      <c r="F743">
        <v>6</v>
      </c>
      <c r="G743">
        <v>503.38</v>
      </c>
      <c r="H743">
        <v>0</v>
      </c>
      <c r="I743">
        <v>3020.28</v>
      </c>
      <c r="J743">
        <v>2432.0700000000002</v>
      </c>
      <c r="K743">
        <v>588.21</v>
      </c>
      <c r="L743" t="s">
        <v>58</v>
      </c>
      <c r="M743">
        <v>0.1948</v>
      </c>
    </row>
    <row r="744" spans="1:13" x14ac:dyDescent="0.3">
      <c r="A744" t="s">
        <v>781</v>
      </c>
      <c r="B744" s="2">
        <v>45687</v>
      </c>
      <c r="C744" t="s">
        <v>32</v>
      </c>
      <c r="D744" t="s">
        <v>20</v>
      </c>
      <c r="E744" t="s">
        <v>21</v>
      </c>
      <c r="F744">
        <v>5</v>
      </c>
      <c r="G744">
        <v>46.15</v>
      </c>
      <c r="H744">
        <v>0</v>
      </c>
      <c r="I744">
        <v>230.75</v>
      </c>
      <c r="J744">
        <v>164.1</v>
      </c>
      <c r="K744">
        <v>66.650000000000006</v>
      </c>
      <c r="L744" t="s">
        <v>65</v>
      </c>
      <c r="M744">
        <v>0.2888</v>
      </c>
    </row>
    <row r="745" spans="1:13" x14ac:dyDescent="0.3">
      <c r="A745" t="s">
        <v>782</v>
      </c>
      <c r="B745" s="2">
        <v>45863</v>
      </c>
      <c r="C745" t="s">
        <v>14</v>
      </c>
      <c r="D745" t="s">
        <v>41</v>
      </c>
      <c r="E745" t="s">
        <v>21</v>
      </c>
      <c r="F745">
        <v>2</v>
      </c>
      <c r="G745">
        <v>22.77</v>
      </c>
      <c r="H745">
        <v>0</v>
      </c>
      <c r="I745">
        <v>45.54</v>
      </c>
      <c r="J745">
        <v>34.69</v>
      </c>
      <c r="K745">
        <v>10.85</v>
      </c>
      <c r="L745" t="s">
        <v>26</v>
      </c>
      <c r="M745">
        <v>0.23830000000000001</v>
      </c>
    </row>
    <row r="746" spans="1:13" x14ac:dyDescent="0.3">
      <c r="A746" t="s">
        <v>783</v>
      </c>
      <c r="B746" s="2">
        <v>45991</v>
      </c>
      <c r="C746" t="s">
        <v>19</v>
      </c>
      <c r="D746" t="s">
        <v>48</v>
      </c>
      <c r="E746" t="s">
        <v>16</v>
      </c>
      <c r="F746">
        <v>6</v>
      </c>
      <c r="G746">
        <v>805.52</v>
      </c>
      <c r="H746">
        <v>0</v>
      </c>
      <c r="I746">
        <v>4833.12</v>
      </c>
      <c r="J746">
        <v>2822.46</v>
      </c>
      <c r="K746">
        <v>2010.66</v>
      </c>
      <c r="L746" t="s">
        <v>35</v>
      </c>
      <c r="M746">
        <v>0.41599999999999998</v>
      </c>
    </row>
    <row r="747" spans="1:13" x14ac:dyDescent="0.3">
      <c r="A747" t="s">
        <v>784</v>
      </c>
      <c r="B747" s="2">
        <v>45871</v>
      </c>
      <c r="C747" t="s">
        <v>32</v>
      </c>
      <c r="D747" t="s">
        <v>41</v>
      </c>
      <c r="E747" t="s">
        <v>21</v>
      </c>
      <c r="F747">
        <v>2</v>
      </c>
      <c r="G747">
        <v>16.84</v>
      </c>
      <c r="H747">
        <v>0</v>
      </c>
      <c r="I747">
        <v>33.68</v>
      </c>
      <c r="J747">
        <v>26.24</v>
      </c>
      <c r="K747">
        <v>7.44</v>
      </c>
      <c r="L747" t="s">
        <v>44</v>
      </c>
      <c r="M747">
        <v>0.22090000000000001</v>
      </c>
    </row>
    <row r="748" spans="1:13" x14ac:dyDescent="0.3">
      <c r="A748" t="s">
        <v>785</v>
      </c>
      <c r="B748" s="2">
        <v>45778</v>
      </c>
      <c r="C748" t="s">
        <v>14</v>
      </c>
      <c r="D748" t="s">
        <v>15</v>
      </c>
      <c r="E748" t="s">
        <v>16</v>
      </c>
      <c r="F748">
        <v>7</v>
      </c>
      <c r="G748">
        <v>304.32</v>
      </c>
      <c r="H748">
        <v>0</v>
      </c>
      <c r="I748">
        <v>2130.2399999999998</v>
      </c>
      <c r="J748">
        <v>1377.53</v>
      </c>
      <c r="K748">
        <v>752.71</v>
      </c>
      <c r="L748" t="s">
        <v>33</v>
      </c>
      <c r="M748">
        <v>0.3533</v>
      </c>
    </row>
    <row r="749" spans="1:13" x14ac:dyDescent="0.3">
      <c r="A749" t="s">
        <v>786</v>
      </c>
      <c r="B749" s="2">
        <v>45844</v>
      </c>
      <c r="C749" t="s">
        <v>14</v>
      </c>
      <c r="D749" t="s">
        <v>37</v>
      </c>
      <c r="E749" t="s">
        <v>16</v>
      </c>
      <c r="F749">
        <v>6</v>
      </c>
      <c r="G749">
        <v>206.25</v>
      </c>
      <c r="H749">
        <v>0</v>
      </c>
      <c r="I749">
        <v>1237.5</v>
      </c>
      <c r="J749">
        <v>720.63</v>
      </c>
      <c r="K749">
        <v>516.87</v>
      </c>
      <c r="L749" t="s">
        <v>26</v>
      </c>
      <c r="M749">
        <v>0.41770000000000002</v>
      </c>
    </row>
    <row r="750" spans="1:13" x14ac:dyDescent="0.3">
      <c r="A750" t="s">
        <v>787</v>
      </c>
      <c r="B750" s="2">
        <v>45955</v>
      </c>
      <c r="C750" t="s">
        <v>24</v>
      </c>
      <c r="D750" t="s">
        <v>72</v>
      </c>
      <c r="E750" t="s">
        <v>16</v>
      </c>
      <c r="F750">
        <v>6</v>
      </c>
      <c r="G750">
        <v>293.22000000000003</v>
      </c>
      <c r="H750">
        <v>0</v>
      </c>
      <c r="I750">
        <v>1759.32</v>
      </c>
      <c r="J750">
        <v>1125.07</v>
      </c>
      <c r="K750">
        <v>634.25</v>
      </c>
      <c r="L750" t="s">
        <v>58</v>
      </c>
      <c r="M750">
        <v>0.36049999999999999</v>
      </c>
    </row>
    <row r="751" spans="1:13" x14ac:dyDescent="0.3">
      <c r="A751" t="s">
        <v>788</v>
      </c>
      <c r="B751" s="2">
        <v>45940</v>
      </c>
      <c r="C751" t="s">
        <v>19</v>
      </c>
      <c r="D751" t="s">
        <v>41</v>
      </c>
      <c r="E751" t="s">
        <v>21</v>
      </c>
      <c r="F751">
        <v>5</v>
      </c>
      <c r="G751">
        <v>47.67</v>
      </c>
      <c r="H751">
        <v>0</v>
      </c>
      <c r="I751">
        <v>238.35</v>
      </c>
      <c r="J751">
        <v>141.78</v>
      </c>
      <c r="K751">
        <v>96.57</v>
      </c>
      <c r="L751" t="s">
        <v>58</v>
      </c>
      <c r="M751">
        <v>0.4052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FC9C5-F4E5-4239-B916-2ACF6D1E5F52}">
  <dimension ref="A3:B8"/>
  <sheetViews>
    <sheetView workbookViewId="0">
      <selection activeCell="H27" sqref="H27"/>
    </sheetView>
  </sheetViews>
  <sheetFormatPr defaultRowHeight="14.4" x14ac:dyDescent="0.3"/>
  <cols>
    <col min="1" max="1" width="12.5546875" bestFit="1" customWidth="1"/>
    <col min="2" max="2" width="11.6640625" bestFit="1" customWidth="1"/>
  </cols>
  <sheetData>
    <row r="3" spans="1:2" x14ac:dyDescent="0.3">
      <c r="A3" s="3" t="s">
        <v>800</v>
      </c>
      <c r="B3" t="s">
        <v>799</v>
      </c>
    </row>
    <row r="4" spans="1:2" x14ac:dyDescent="0.3">
      <c r="A4" s="4" t="s">
        <v>19</v>
      </c>
      <c r="B4">
        <v>27380.579999999998</v>
      </c>
    </row>
    <row r="5" spans="1:2" x14ac:dyDescent="0.3">
      <c r="A5" s="4" t="s">
        <v>32</v>
      </c>
      <c r="B5">
        <v>30686.350000000009</v>
      </c>
    </row>
    <row r="6" spans="1:2" x14ac:dyDescent="0.3">
      <c r="A6" s="4" t="s">
        <v>14</v>
      </c>
      <c r="B6">
        <v>27298.840000000004</v>
      </c>
    </row>
    <row r="7" spans="1:2" x14ac:dyDescent="0.3">
      <c r="A7" s="4" t="s">
        <v>24</v>
      </c>
      <c r="B7">
        <v>28768.119999999995</v>
      </c>
    </row>
    <row r="8" spans="1:2" x14ac:dyDescent="0.3">
      <c r="A8" s="4" t="s">
        <v>801</v>
      </c>
      <c r="B8">
        <v>114133.89000000001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55A7-45A5-4275-A477-08A93376FA63}">
  <dimension ref="A3:D11"/>
  <sheetViews>
    <sheetView workbookViewId="0">
      <selection activeCell="A3" sqref="A3:C12"/>
    </sheetView>
  </sheetViews>
  <sheetFormatPr defaultRowHeight="14.4" x14ac:dyDescent="0.3"/>
  <cols>
    <col min="1" max="1" width="12.5546875" bestFit="1" customWidth="1"/>
    <col min="2" max="2" width="11.6640625" bestFit="1" customWidth="1"/>
    <col min="3" max="3" width="12.109375" bestFit="1" customWidth="1"/>
    <col min="4" max="4" width="18.77734375" bestFit="1" customWidth="1"/>
  </cols>
  <sheetData>
    <row r="3" spans="1:4" x14ac:dyDescent="0.3">
      <c r="A3" s="3" t="s">
        <v>800</v>
      </c>
      <c r="B3" t="s">
        <v>799</v>
      </c>
      <c r="C3" t="s">
        <v>802</v>
      </c>
    </row>
    <row r="4" spans="1:4" x14ac:dyDescent="0.3">
      <c r="A4" s="4" t="s">
        <v>28</v>
      </c>
      <c r="B4">
        <v>36167.719999999987</v>
      </c>
      <c r="C4">
        <v>10237.579999999998</v>
      </c>
      <c r="D4" s="5">
        <f t="shared" ref="D4:D11" si="0">C4/B4</f>
        <v>0.28305848419529905</v>
      </c>
    </row>
    <row r="5" spans="1:4" x14ac:dyDescent="0.3">
      <c r="A5" s="4" t="s">
        <v>25</v>
      </c>
      <c r="B5">
        <v>34266.539999999986</v>
      </c>
      <c r="C5">
        <v>10305.820000000003</v>
      </c>
      <c r="D5" s="5">
        <f t="shared" si="0"/>
        <v>0.30075461368436984</v>
      </c>
    </row>
    <row r="6" spans="1:4" x14ac:dyDescent="0.3">
      <c r="A6" s="4" t="s">
        <v>20</v>
      </c>
      <c r="B6">
        <v>28122.05000000001</v>
      </c>
      <c r="C6">
        <v>8004.1900000000005</v>
      </c>
      <c r="D6" s="5">
        <f t="shared" si="0"/>
        <v>0.28462327604139803</v>
      </c>
    </row>
    <row r="7" spans="1:4" x14ac:dyDescent="0.3">
      <c r="A7" s="4" t="s">
        <v>41</v>
      </c>
      <c r="B7">
        <v>15577.579999999991</v>
      </c>
      <c r="C7">
        <v>4779.4200000000019</v>
      </c>
      <c r="D7" s="5">
        <f t="shared" si="0"/>
        <v>0.30681402374438166</v>
      </c>
    </row>
    <row r="8" spans="1:4" x14ac:dyDescent="0.3">
      <c r="A8" s="4" t="s">
        <v>801</v>
      </c>
      <c r="B8">
        <v>114133.88999999998</v>
      </c>
      <c r="C8">
        <v>33327.01</v>
      </c>
      <c r="D8" s="5">
        <f t="shared" si="0"/>
        <v>0.29199924755039897</v>
      </c>
    </row>
    <row r="9" spans="1:4" x14ac:dyDescent="0.3">
      <c r="D9" s="5" t="e">
        <f t="shared" si="0"/>
        <v>#DIV/0!</v>
      </c>
    </row>
    <row r="10" spans="1:4" x14ac:dyDescent="0.3">
      <c r="D10" s="5" t="e">
        <f t="shared" si="0"/>
        <v>#DIV/0!</v>
      </c>
    </row>
    <row r="11" spans="1:4" x14ac:dyDescent="0.3">
      <c r="D11" s="5" t="e">
        <f t="shared" si="0"/>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639D6-6BB7-4C3D-B80A-97D12388CA49}">
  <dimension ref="A3:C16"/>
  <sheetViews>
    <sheetView workbookViewId="0">
      <selection activeCell="B19" sqref="B19"/>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3" t="s">
        <v>800</v>
      </c>
      <c r="B3" t="s">
        <v>799</v>
      </c>
      <c r="C3" t="s">
        <v>802</v>
      </c>
    </row>
    <row r="4" spans="1:3" x14ac:dyDescent="0.3">
      <c r="A4" s="4" t="s">
        <v>65</v>
      </c>
      <c r="B4">
        <v>8361.4599999999991</v>
      </c>
      <c r="C4">
        <v>2332.8099999999995</v>
      </c>
    </row>
    <row r="5" spans="1:3" x14ac:dyDescent="0.3">
      <c r="A5" s="4" t="s">
        <v>29</v>
      </c>
      <c r="B5">
        <v>10410.549999999997</v>
      </c>
      <c r="C5">
        <v>3057.92</v>
      </c>
    </row>
    <row r="6" spans="1:3" x14ac:dyDescent="0.3">
      <c r="A6" s="4" t="s">
        <v>49</v>
      </c>
      <c r="B6">
        <v>10611.169999999996</v>
      </c>
      <c r="C6">
        <v>3110.97</v>
      </c>
    </row>
    <row r="7" spans="1:3" x14ac:dyDescent="0.3">
      <c r="A7" s="4" t="s">
        <v>17</v>
      </c>
      <c r="B7">
        <v>12244.439999999999</v>
      </c>
      <c r="C7">
        <v>3470.9699999999993</v>
      </c>
    </row>
    <row r="8" spans="1:3" x14ac:dyDescent="0.3">
      <c r="A8" s="4" t="s">
        <v>33</v>
      </c>
      <c r="B8">
        <v>11029.150000000001</v>
      </c>
      <c r="C8">
        <v>3450.56</v>
      </c>
    </row>
    <row r="9" spans="1:3" x14ac:dyDescent="0.3">
      <c r="A9" s="4" t="s">
        <v>22</v>
      </c>
      <c r="B9">
        <v>5911.6600000000017</v>
      </c>
      <c r="C9">
        <v>1763.1200000000001</v>
      </c>
    </row>
    <row r="10" spans="1:3" x14ac:dyDescent="0.3">
      <c r="A10" s="4" t="s">
        <v>26</v>
      </c>
      <c r="B10">
        <v>10215.67</v>
      </c>
      <c r="C10">
        <v>3001.18</v>
      </c>
    </row>
    <row r="11" spans="1:3" x14ac:dyDescent="0.3">
      <c r="A11" s="4" t="s">
        <v>44</v>
      </c>
      <c r="B11">
        <v>8488.9100000000035</v>
      </c>
      <c r="C11">
        <v>2527.9700000000003</v>
      </c>
    </row>
    <row r="12" spans="1:3" x14ac:dyDescent="0.3">
      <c r="A12" s="4" t="s">
        <v>38</v>
      </c>
      <c r="B12">
        <v>9268.31</v>
      </c>
      <c r="C12">
        <v>2696.0999999999995</v>
      </c>
    </row>
    <row r="13" spans="1:3" x14ac:dyDescent="0.3">
      <c r="A13" s="4" t="s">
        <v>58</v>
      </c>
      <c r="B13">
        <v>8847.69</v>
      </c>
      <c r="C13">
        <v>2355.9999999999995</v>
      </c>
    </row>
    <row r="14" spans="1:3" x14ac:dyDescent="0.3">
      <c r="A14" s="4" t="s">
        <v>35</v>
      </c>
      <c r="B14">
        <v>7616.0499999999984</v>
      </c>
      <c r="C14">
        <v>2341.8099999999995</v>
      </c>
    </row>
    <row r="15" spans="1:3" x14ac:dyDescent="0.3">
      <c r="A15" s="4" t="s">
        <v>46</v>
      </c>
      <c r="B15">
        <v>11128.83</v>
      </c>
      <c r="C15">
        <v>3217.6</v>
      </c>
    </row>
    <row r="16" spans="1:3" x14ac:dyDescent="0.3">
      <c r="A16" s="4" t="s">
        <v>801</v>
      </c>
      <c r="B16">
        <v>114133.89000000001</v>
      </c>
      <c r="C16">
        <v>33327.009999999995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tabSelected="1" topLeftCell="B1" zoomScale="54" zoomScaleNormal="90" workbookViewId="0">
      <selection activeCell="D5" sqref="D5"/>
    </sheetView>
  </sheetViews>
  <sheetFormatPr defaultRowHeight="14.4" x14ac:dyDescent="0.3"/>
  <cols>
    <col min="1" max="1" width="34.6640625" customWidth="1"/>
    <col min="2" max="2" width="25.6640625" customWidth="1"/>
    <col min="3" max="3" width="14.109375" customWidth="1"/>
    <col min="4" max="4" width="17.5546875" customWidth="1"/>
    <col min="5" max="5" width="13.5546875" customWidth="1"/>
    <col min="6" max="6" width="14.88671875" customWidth="1"/>
  </cols>
  <sheetData>
    <row r="1" spans="1:10" x14ac:dyDescent="0.3">
      <c r="A1" s="1"/>
      <c r="B1" s="1"/>
    </row>
    <row r="2" spans="1:10" ht="23.4" x14ac:dyDescent="0.45">
      <c r="B2" s="9" t="s">
        <v>803</v>
      </c>
      <c r="C2" s="10"/>
      <c r="D2" s="10"/>
      <c r="E2" s="10"/>
      <c r="F2" s="10"/>
      <c r="G2" s="10"/>
      <c r="H2" s="10"/>
      <c r="I2" s="10"/>
      <c r="J2" s="10"/>
    </row>
    <row r="4" spans="1:10" x14ac:dyDescent="0.3">
      <c r="B4" t="s">
        <v>804</v>
      </c>
      <c r="D4" t="s">
        <v>805</v>
      </c>
      <c r="F4" t="s">
        <v>806</v>
      </c>
      <c r="H4" t="s">
        <v>807</v>
      </c>
      <c r="J4" t="s">
        <v>808</v>
      </c>
    </row>
    <row r="5" spans="1:10" x14ac:dyDescent="0.3">
      <c r="B5" s="7">
        <f>SUM('Raw Data'!I2:I751)</f>
        <v>753637.49000000057</v>
      </c>
      <c r="D5" s="7">
        <f>SUM('Raw Data'!K2:K751)</f>
        <v>221240.22000000012</v>
      </c>
      <c r="F5">
        <f>COUNTA('Raw Data'!A:A)-1</f>
        <v>750</v>
      </c>
      <c r="H5" s="8">
        <f>SUM('Raw Data'!F2:F751)</f>
        <v>3020</v>
      </c>
      <c r="J5" s="6">
        <f>D5/B5</f>
        <v>0.29356318247915181</v>
      </c>
    </row>
  </sheetData>
  <mergeCells count="1">
    <mergeCell ref="B2:J2"/>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C7AA5-4937-49B3-95E7-691D23BB8368}">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s="1" t="s">
        <v>789</v>
      </c>
      <c r="B1" s="1" t="s">
        <v>790</v>
      </c>
    </row>
    <row r="2" spans="1:2" x14ac:dyDescent="0.3">
      <c r="A2" t="s">
        <v>791</v>
      </c>
      <c r="B2">
        <f>SUM('Raw Data'!I:I)</f>
        <v>753637.49000000057</v>
      </c>
    </row>
    <row r="3" spans="1:2" x14ac:dyDescent="0.3">
      <c r="A3" t="s">
        <v>792</v>
      </c>
      <c r="B3">
        <f>SUM('Raw Data'!K:K)</f>
        <v>221240.22000000012</v>
      </c>
    </row>
    <row r="4" spans="1:2" x14ac:dyDescent="0.3">
      <c r="A4" t="s">
        <v>793</v>
      </c>
      <c r="B4">
        <f>COUNTA('Raw Data'!A:A)-1</f>
        <v>750</v>
      </c>
    </row>
    <row r="5" spans="1:2" x14ac:dyDescent="0.3">
      <c r="A5" t="s">
        <v>794</v>
      </c>
      <c r="B5">
        <f>SUM('Raw Data'!F:F)</f>
        <v>3020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Sheet1</vt:lpstr>
      <vt:lpstr>Sheet2</vt:lpstr>
      <vt:lpstr>Sheet3</vt:lpstr>
      <vt:lpstr>Dashboard</vt:lpstr>
      <vt:lpstr>Sheet4</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Umme Kaif</cp:lastModifiedBy>
  <dcterms:created xsi:type="dcterms:W3CDTF">2026-09-15T16:08:55Z</dcterms:created>
  <dcterms:modified xsi:type="dcterms:W3CDTF">2026-09-23T16:46:24Z</dcterms:modified>
</cp:coreProperties>
</file>